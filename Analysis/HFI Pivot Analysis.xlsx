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 Klett\Desktop\HFI 2024 sample set\"/>
    </mc:Choice>
  </mc:AlternateContent>
  <xr:revisionPtr revIDLastSave="0" documentId="13_ncr:1_{8731DFB2-56D3-4E47-8A2A-6305BD7521FA}" xr6:coauthVersionLast="47" xr6:coauthVersionMax="47" xr10:uidLastSave="{00000000-0000-0000-0000-000000000000}"/>
  <bookViews>
    <workbookView xWindow="2100" yWindow="555" windowWidth="27855" windowHeight="11385" activeTab="1" xr2:uid="{00000000-000D-0000-FFFF-FFFF00000000}"/>
  </bookViews>
  <sheets>
    <sheet name="Data Sheet" sheetId="1" r:id="rId1"/>
    <sheet name="Pivot Tables" sheetId="4" r:id="rId2"/>
  </sheets>
  <calcPr calcId="144525" iterateCount="1"/>
  <pivotCaches>
    <pivotCache cacheId="0" r:id="rId3"/>
  </pivotCaches>
</workbook>
</file>

<file path=xl/sharedStrings.xml><?xml version="1.0" encoding="utf-8"?>
<sst xmlns="http://schemas.openxmlformats.org/spreadsheetml/2006/main" count="193" uniqueCount="60">
  <si>
    <t>HFI #</t>
  </si>
  <si>
    <t>Month</t>
  </si>
  <si>
    <t>Year</t>
  </si>
  <si>
    <t>Unit Quantity</t>
  </si>
  <si>
    <t>Level 1 Error</t>
  </si>
  <si>
    <t>Level 2 Error</t>
  </si>
  <si>
    <t>Shift</t>
  </si>
  <si>
    <t>Date</t>
  </si>
  <si>
    <t>B</t>
  </si>
  <si>
    <t>Palletizer</t>
  </si>
  <si>
    <t>Plunger</t>
  </si>
  <si>
    <t>Label</t>
  </si>
  <si>
    <t>Brites</t>
  </si>
  <si>
    <t>A</t>
  </si>
  <si>
    <t>Bodymaker</t>
  </si>
  <si>
    <t>#3</t>
  </si>
  <si>
    <t>Necker</t>
  </si>
  <si>
    <t>Camera</t>
  </si>
  <si>
    <t>Infeed</t>
  </si>
  <si>
    <t>Inside Spray</t>
  </si>
  <si>
    <t>Gun # 6</t>
  </si>
  <si>
    <t>Crafty Radler</t>
  </si>
  <si>
    <t>C</t>
  </si>
  <si>
    <t>D</t>
  </si>
  <si>
    <t>Decorator</t>
  </si>
  <si>
    <t>Printer 2</t>
  </si>
  <si>
    <t>#1</t>
  </si>
  <si>
    <t>Vaulted Blue IPA</t>
  </si>
  <si>
    <t>Washer</t>
  </si>
  <si>
    <t>Crush</t>
  </si>
  <si>
    <t>Fill</t>
  </si>
  <si>
    <t>Contamination</t>
  </si>
  <si>
    <t>Original Sin White Widow</t>
  </si>
  <si>
    <t>Citizen Cider "The Dirty Mayor"</t>
  </si>
  <si>
    <t>Gun #7</t>
  </si>
  <si>
    <t>Sort</t>
  </si>
  <si>
    <t>Dome</t>
  </si>
  <si>
    <t>Citizen Cider Unified Press</t>
  </si>
  <si>
    <t>Conveyer</t>
  </si>
  <si>
    <t>Gun #8</t>
  </si>
  <si>
    <t>Mackinnon Brothers Red Fox Ale</t>
  </si>
  <si>
    <t>Multiple</t>
  </si>
  <si>
    <t>Scrap</t>
  </si>
  <si>
    <t>Uneven</t>
  </si>
  <si>
    <t>Fix</t>
  </si>
  <si>
    <t>Line Control</t>
  </si>
  <si>
    <t>Reface</t>
  </si>
  <si>
    <t>Belt</t>
  </si>
  <si>
    <t>Released</t>
  </si>
  <si>
    <t>Crosscut</t>
  </si>
  <si>
    <t>Castle Island Keeper</t>
  </si>
  <si>
    <t>Gun # 5</t>
  </si>
  <si>
    <t>Row Labels</t>
  </si>
  <si>
    <t>(blank)</t>
  </si>
  <si>
    <t>Grand Total</t>
  </si>
  <si>
    <t>Column Labels</t>
  </si>
  <si>
    <t>(All)</t>
  </si>
  <si>
    <t>Sum of Unit Quantity</t>
  </si>
  <si>
    <t>Batwings</t>
  </si>
  <si>
    <t>Disposition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</si>
</sst>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[HFI Pivot Analysis.xlsx]Pivot Tables!PivotTable2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Tables'!$A$33:$A$43</c:f>
              <c:strCache>
                <c:ptCount val="10"/>
                <c:pt idx="0">
                  <c:v>Brites</c:v>
                </c:pt>
                <c:pt idx="1">
                  <c:v>Castle Island Keeper</c:v>
                </c:pt>
                <c:pt idx="2">
                  <c:v>Citizen Cider "The Dirty Mayor"</c:v>
                </c:pt>
                <c:pt idx="3">
                  <c:v>Citizen Cider Unified Press</c:v>
                </c:pt>
                <c:pt idx="4">
                  <c:v>Crafty Radler</c:v>
                </c:pt>
                <c:pt idx="5">
                  <c:v>Crosscut</c:v>
                </c:pt>
                <c:pt idx="6">
                  <c:v>Mackinnon Brothers Red Fox Ale</c:v>
                </c:pt>
                <c:pt idx="7">
                  <c:v>Original Sin White Widow</c:v>
                </c:pt>
                <c:pt idx="8">
                  <c:v>Vaulted Blue IPA</c:v>
                </c:pt>
                <c:pt idx="9">
                  <c:v>(blank)</c:v>
                </c:pt>
              </c:strCache>
            </c:strRef>
          </c:cat>
          <c:val>
            <c:numRef>
              <c:f>'Pivot Tables'!$B$33:$B$43</c:f>
              <c:numCache>
                <c:formatCode>General</c:formatCode>
                <c:ptCount val="10"/>
                <c:pt idx="0">
                  <c:v>218618</c:v>
                </c:pt>
                <c:pt idx="1">
                  <c:v>12448</c:v>
                </c:pt>
                <c:pt idx="2">
                  <c:v>74688</c:v>
                </c:pt>
                <c:pt idx="3">
                  <c:v>13615</c:v>
                </c:pt>
                <c:pt idx="4">
                  <c:v>65741</c:v>
                </c:pt>
                <c:pt idx="5">
                  <c:v>14393</c:v>
                </c:pt>
                <c:pt idx="6">
                  <c:v>33065</c:v>
                </c:pt>
                <c:pt idx="7">
                  <c:v>24507</c:v>
                </c:pt>
                <c:pt idx="8">
                  <c:v>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7-48DB-BB39-CE7BCAC14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49152"/>
        <c:axId val="49658112"/>
      </c:barChart>
      <c:catAx>
        <c:axId val="4964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9658112"/>
        <c:crosses val="autoZero"/>
        <c:auto val="1"/>
        <c:lblAlgn val="ctr"/>
        <c:lblOffset val="100"/>
        <c:noMultiLvlLbl val="0"/>
      </c:catAx>
      <c:valAx>
        <c:axId val="4965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64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19</xdr:row>
      <xdr:rowOff>180975</xdr:rowOff>
    </xdr:from>
    <xdr:to>
      <xdr:col>14</xdr:col>
      <xdr:colOff>533400</xdr:colOff>
      <xdr:row>37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Klett" refreshedDate="46151.745774189818" createdVersion="4" refreshedVersion="8" minRefreshableVersion="3" recordCount="32" xr:uid="{00000000-000A-0000-FFFF-FFFF21000000}">
  <cacheSource type="worksheet">
    <worksheetSource ref="A1:J1048576" sheet="Data Sheet"/>
  </cacheSource>
  <cacheFields count="10">
    <cacheField name="Month" numFmtId="0">
      <sharedItems containsString="0" containsBlank="1" containsNumber="1" containsInteger="1" minValue="1" maxValue="2"/>
    </cacheField>
    <cacheField name="Year" numFmtId="0">
      <sharedItems containsString="0" containsBlank="1" containsNumber="1" containsInteger="1" minValue="2024" maxValue="2024"/>
    </cacheField>
    <cacheField name="HFI #" numFmtId="0">
      <sharedItems containsString="0" containsBlank="1" containsNumber="1" containsInteger="1" minValue="10" maxValue="2023" count="33"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12"/>
        <n v="37"/>
        <n v="38"/>
        <n v="39"/>
        <n v="40"/>
        <n v="41"/>
        <n v="42"/>
        <n v="43"/>
        <n v="44"/>
        <n v="45"/>
        <n v="46"/>
        <n v="47"/>
        <n v="48"/>
        <n v="49"/>
        <n v="10"/>
        <n v="11"/>
        <n v="14"/>
        <m/>
        <n v="2023" u="1"/>
      </sharedItems>
    </cacheField>
    <cacheField name="Label" numFmtId="0">
      <sharedItems containsBlank="1" count="10">
        <s v="Citizen Cider &quot;The Dirty Mayor&quot;"/>
        <s v="Citizen Cider Unified Press"/>
        <m/>
        <s v="Brites"/>
        <s v="Mackinnon Brothers Red Fox Ale"/>
        <s v="Crosscut"/>
        <s v="Crafty Radler"/>
        <s v="Vaulted Blue IPA"/>
        <s v="Original Sin White Widow"/>
        <s v="Castle Island Keeper"/>
      </sharedItems>
    </cacheField>
    <cacheField name="Shift" numFmtId="0">
      <sharedItems containsBlank="1"/>
    </cacheField>
    <cacheField name="Unit Quantity" numFmtId="0">
      <sharedItems containsString="0" containsBlank="1" containsNumber="1" containsInteger="1" minValue="4668" maxValue="43568"/>
    </cacheField>
    <cacheField name="Level 1 Error" numFmtId="0">
      <sharedItems containsBlank="1" count="9">
        <s v="Inside Spray"/>
        <s v="Washer"/>
        <s v="Decorator"/>
        <m/>
        <s v="Conveyer"/>
        <s v="Multiple"/>
        <s v="Palletizer"/>
        <s v="Necker"/>
        <s v="Bodymaker"/>
      </sharedItems>
    </cacheField>
    <cacheField name="Level 2 Error" numFmtId="0">
      <sharedItems containsBlank="1"/>
    </cacheField>
    <cacheField name="Date" numFmtId="0">
      <sharedItems containsNonDate="0" containsDate="1" containsString="0" containsBlank="1" minDate="2023-01-08T00:00:00" maxDate="2024-02-15T00:00:00" count="24">
        <d v="2024-01-09T00:00:00"/>
        <d v="2024-01-11T00:00:00"/>
        <d v="2024-01-12T00:00:00"/>
        <m/>
        <d v="2024-01-15T00:00:00"/>
        <d v="2024-01-16T00:00:00"/>
        <d v="2024-01-18T00:00:00"/>
        <d v="2024-01-26T00:00:00"/>
        <d v="2024-01-27T00:00:00"/>
        <d v="2024-01-30T00:00:00"/>
        <d v="2024-01-08T00:00:00"/>
        <d v="2024-02-01T00:00:00"/>
        <d v="2024-02-02T00:00:00"/>
        <d v="2024-02-03T00:00:00"/>
        <d v="2024-02-04T00:00:00"/>
        <d v="2024-02-05T00:00:00"/>
        <d v="2024-02-09T00:00:00"/>
        <d v="2024-02-11T00:00:00"/>
        <d v="2024-02-14T00:00:00"/>
        <d v="2024-01-19T00:00:00"/>
        <d v="2023-12-08T00:00:00" u="1"/>
        <d v="2023-12-19T00:00:00" u="1"/>
        <d v="2023-01-12T00:00:00" u="1"/>
        <d v="2023-01-08T00:00:00" u="1"/>
      </sharedItems>
    </cacheField>
    <cacheField name="Disposition?" numFmtId="0">
      <sharedItems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n v="2024"/>
    <x v="0"/>
    <x v="0"/>
    <s v="A"/>
    <n v="31120"/>
    <x v="0"/>
    <s v="Gun #7"/>
    <x v="0"/>
    <s v="Sort"/>
  </r>
  <r>
    <n v="1"/>
    <n v="2024"/>
    <x v="1"/>
    <x v="0"/>
    <s v="C"/>
    <n v="43568"/>
    <x v="1"/>
    <s v="Dome"/>
    <x v="1"/>
    <m/>
  </r>
  <r>
    <n v="1"/>
    <n v="2024"/>
    <x v="2"/>
    <x v="1"/>
    <s v="D"/>
    <n v="8169"/>
    <x v="2"/>
    <s v="Printer 2"/>
    <x v="2"/>
    <s v="Sort"/>
  </r>
  <r>
    <n v="1"/>
    <n v="2024"/>
    <x v="3"/>
    <x v="2"/>
    <m/>
    <m/>
    <x v="3"/>
    <m/>
    <x v="3"/>
    <m/>
  </r>
  <r>
    <n v="1"/>
    <n v="2024"/>
    <x v="4"/>
    <x v="1"/>
    <s v="C"/>
    <n v="5446"/>
    <x v="4"/>
    <s v="Conveyer"/>
    <x v="2"/>
    <s v="Sort"/>
  </r>
  <r>
    <n v="1"/>
    <n v="2024"/>
    <x v="5"/>
    <x v="3"/>
    <s v="A"/>
    <n v="6224"/>
    <x v="0"/>
    <s v="Gun #7"/>
    <x v="4"/>
    <s v="Sort"/>
  </r>
  <r>
    <n v="1"/>
    <n v="2024"/>
    <x v="6"/>
    <x v="3"/>
    <s v="D"/>
    <n v="11281"/>
    <x v="0"/>
    <s v="Gun #8"/>
    <x v="5"/>
    <s v="Sort"/>
  </r>
  <r>
    <n v="1"/>
    <n v="2024"/>
    <x v="7"/>
    <x v="4"/>
    <s v="D"/>
    <n v="20617"/>
    <x v="2"/>
    <s v="Printer 2"/>
    <x v="6"/>
    <s v="Crush"/>
  </r>
  <r>
    <n v="1"/>
    <n v="2024"/>
    <x v="8"/>
    <x v="4"/>
    <s v="A"/>
    <n v="12448"/>
    <x v="2"/>
    <s v="Printer 2"/>
    <x v="6"/>
    <m/>
  </r>
  <r>
    <n v="1"/>
    <n v="2024"/>
    <x v="9"/>
    <x v="3"/>
    <s v="C"/>
    <n v="8169"/>
    <x v="5"/>
    <s v="Multiple"/>
    <x v="7"/>
    <s v="Scrap"/>
  </r>
  <r>
    <n v="1"/>
    <n v="2024"/>
    <x v="10"/>
    <x v="3"/>
    <s v="D"/>
    <n v="8169"/>
    <x v="6"/>
    <s v="Uneven"/>
    <x v="8"/>
    <s v="Fix"/>
  </r>
  <r>
    <n v="1"/>
    <n v="2024"/>
    <x v="11"/>
    <x v="3"/>
    <s v="C"/>
    <n v="16338"/>
    <x v="4"/>
    <s v="Line Control"/>
    <x v="9"/>
    <s v="Reface"/>
  </r>
  <r>
    <n v="1"/>
    <n v="2024"/>
    <x v="12"/>
    <x v="3"/>
    <s v="D"/>
    <n v="8169"/>
    <x v="1"/>
    <s v="Belt"/>
    <x v="9"/>
    <s v="Released"/>
  </r>
  <r>
    <n v="1"/>
    <n v="2024"/>
    <x v="13"/>
    <x v="5"/>
    <s v="C"/>
    <n v="8169"/>
    <x v="2"/>
    <s v="Printer 2"/>
    <x v="9"/>
    <s v="Sort"/>
  </r>
  <r>
    <n v="1"/>
    <n v="2024"/>
    <x v="14"/>
    <x v="6"/>
    <s v="A"/>
    <n v="4668"/>
    <x v="7"/>
    <s v="Camera"/>
    <x v="10"/>
    <s v="Sort"/>
  </r>
  <r>
    <n v="2"/>
    <n v="2024"/>
    <x v="15"/>
    <x v="5"/>
    <s v="C"/>
    <n v="6224"/>
    <x v="2"/>
    <s v="Printer 2"/>
    <x v="11"/>
    <s v="Crush"/>
  </r>
  <r>
    <n v="2"/>
    <n v="2024"/>
    <x v="16"/>
    <x v="3"/>
    <s v="B"/>
    <n v="24507"/>
    <x v="6"/>
    <s v="Plunger"/>
    <x v="12"/>
    <m/>
  </r>
  <r>
    <n v="2"/>
    <n v="2024"/>
    <x v="17"/>
    <x v="3"/>
    <s v="A"/>
    <n v="16338"/>
    <x v="8"/>
    <s v="#3"/>
    <x v="11"/>
    <m/>
  </r>
  <r>
    <n v="2"/>
    <n v="2024"/>
    <x v="18"/>
    <x v="3"/>
    <s v="A"/>
    <n v="40845"/>
    <x v="7"/>
    <s v="Camera"/>
    <x v="12"/>
    <m/>
  </r>
  <r>
    <n v="2"/>
    <n v="2024"/>
    <x v="19"/>
    <x v="3"/>
    <s v="B"/>
    <n v="40845"/>
    <x v="7"/>
    <s v="Infeed"/>
    <x v="13"/>
    <m/>
  </r>
  <r>
    <n v="2"/>
    <n v="2024"/>
    <x v="20"/>
    <x v="6"/>
    <s v="C"/>
    <n v="24507"/>
    <x v="0"/>
    <s v="Gun # 6"/>
    <x v="13"/>
    <m/>
  </r>
  <r>
    <n v="2"/>
    <n v="2024"/>
    <x v="21"/>
    <x v="6"/>
    <s v="D"/>
    <n v="8169"/>
    <x v="0"/>
    <s v="Gun # 6"/>
    <x v="14"/>
    <m/>
  </r>
  <r>
    <n v="2"/>
    <n v="2024"/>
    <x v="22"/>
    <x v="6"/>
    <s v="C"/>
    <n v="12059"/>
    <x v="2"/>
    <s v="Printer 2"/>
    <x v="15"/>
    <m/>
  </r>
  <r>
    <n v="2"/>
    <n v="2024"/>
    <x v="23"/>
    <x v="3"/>
    <s v="C"/>
    <n v="21395"/>
    <x v="8"/>
    <s v="#1"/>
    <x v="15"/>
    <m/>
  </r>
  <r>
    <n v="2"/>
    <n v="2024"/>
    <x v="24"/>
    <x v="7"/>
    <s v="B"/>
    <n v="9725"/>
    <x v="2"/>
    <s v="Printer 2"/>
    <x v="16"/>
    <m/>
  </r>
  <r>
    <n v="2"/>
    <n v="2024"/>
    <x v="25"/>
    <x v="3"/>
    <s v="C"/>
    <n v="8169"/>
    <x v="1"/>
    <s v="Contamination"/>
    <x v="16"/>
    <s v="Crush"/>
  </r>
  <r>
    <n v="2"/>
    <n v="2024"/>
    <x v="26"/>
    <x v="3"/>
    <s v="C"/>
    <n v="8169"/>
    <x v="7"/>
    <s v="Batwings"/>
    <x v="17"/>
    <s v="Fill"/>
  </r>
  <r>
    <n v="2"/>
    <n v="2024"/>
    <x v="27"/>
    <x v="8"/>
    <s v="C"/>
    <n v="24507"/>
    <x v="1"/>
    <s v="Belt"/>
    <x v="18"/>
    <m/>
  </r>
  <r>
    <n v="1"/>
    <n v="2024"/>
    <x v="28"/>
    <x v="6"/>
    <s v="A"/>
    <n v="8169"/>
    <x v="5"/>
    <s v="Multiple"/>
    <x v="10"/>
    <s v="Sort"/>
  </r>
  <r>
    <n v="1"/>
    <n v="2024"/>
    <x v="29"/>
    <x v="6"/>
    <s v="A"/>
    <n v="8169"/>
    <x v="7"/>
    <s v="Camera"/>
    <x v="10"/>
    <s v="Sort"/>
  </r>
  <r>
    <n v="1"/>
    <n v="2024"/>
    <x v="30"/>
    <x v="9"/>
    <s v="C"/>
    <n v="12448"/>
    <x v="0"/>
    <s v="Gun # 5"/>
    <x v="19"/>
    <s v="Sort"/>
  </r>
  <r>
    <m/>
    <m/>
    <x v="31"/>
    <x v="2"/>
    <m/>
    <m/>
    <x v="3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chartFormat="1">
  <location ref="A32:B43" firstHeaderRow="1" firstDataRow="1" firstDataCol="1" rowPageCount="2" colPageCount="1"/>
  <pivotFields count="10">
    <pivotField showAll="0"/>
    <pivotField showAll="0"/>
    <pivotField axis="axisPage" showAll="0">
      <items count="34">
        <item x="28"/>
        <item x="29"/>
        <item x="14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2"/>
        <item x="31"/>
        <item t="default"/>
      </items>
    </pivotField>
    <pivotField axis="axisRow" showAll="0">
      <items count="11">
        <item x="3"/>
        <item x="9"/>
        <item x="0"/>
        <item x="1"/>
        <item x="6"/>
        <item x="5"/>
        <item x="4"/>
        <item x="8"/>
        <item x="7"/>
        <item x="2"/>
        <item t="default"/>
      </items>
    </pivotField>
    <pivotField showAll="0"/>
    <pivotField dataField="1" showAll="0"/>
    <pivotField showAll="0"/>
    <pivotField showAll="0"/>
    <pivotField axis="axisPage" showAll="0">
      <items count="25">
        <item m="1" x="23"/>
        <item m="1" x="22"/>
        <item m="1" x="20"/>
        <item m="1" x="21"/>
        <item x="10"/>
        <item x="0"/>
        <item x="1"/>
        <item x="2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3"/>
        <item x="19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2" hier="-1"/>
    <pageField fld="8" hier="-1"/>
  </pageFields>
  <dataFields count="1">
    <dataField name="Sum of Unit Quantity" fld="5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chartFormat="4">
  <location ref="A5:K17" firstHeaderRow="1" firstDataRow="2" firstDataCol="1" rowPageCount="2" colPageCount="1"/>
  <pivotFields count="10">
    <pivotField showAll="0"/>
    <pivotField showAll="0"/>
    <pivotField axis="axisPage" showAll="0">
      <items count="34">
        <item x="28"/>
        <item x="29"/>
        <item x="14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2"/>
        <item x="31"/>
        <item t="default"/>
      </items>
    </pivotField>
    <pivotField axis="axisRow" showAll="0">
      <items count="11">
        <item x="3"/>
        <item x="9"/>
        <item x="0"/>
        <item x="1"/>
        <item x="6"/>
        <item x="5"/>
        <item x="4"/>
        <item x="8"/>
        <item x="7"/>
        <item x="2"/>
        <item t="default"/>
      </items>
    </pivotField>
    <pivotField showAll="0"/>
    <pivotField dataField="1" showAll="0"/>
    <pivotField axis="axisCol" showAll="0">
      <items count="10">
        <item x="8"/>
        <item x="4"/>
        <item x="2"/>
        <item x="0"/>
        <item x="5"/>
        <item x="7"/>
        <item x="6"/>
        <item x="1"/>
        <item x="3"/>
        <item t="default"/>
      </items>
    </pivotField>
    <pivotField showAll="0"/>
    <pivotField axis="axisPage" showAll="0">
      <items count="25">
        <item m="1" x="23"/>
        <item m="1" x="22"/>
        <item m="1" x="20"/>
        <item m="1" x="21"/>
        <item x="0"/>
        <item x="1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3"/>
        <item x="2"/>
        <item x="10"/>
        <item x="19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2">
    <pageField fld="2" hier="-1"/>
    <pageField fld="8" hier="-1"/>
  </pageFields>
  <dataFields count="1">
    <dataField name="Sum of Unit Quantity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J9" sqref="J9"/>
    </sheetView>
  </sheetViews>
  <sheetFormatPr defaultRowHeight="15" x14ac:dyDescent="0.25"/>
  <cols>
    <col min="1" max="3" width="9.140625" style="1"/>
    <col min="5" max="6" width="9.140625" style="1"/>
    <col min="7" max="7" width="11.42578125" style="1" customWidth="1"/>
    <col min="8" max="8" width="15" style="1" customWidth="1"/>
    <col min="9" max="10" width="12.28515625" style="1" customWidth="1"/>
    <col min="11" max="11" width="29.5703125" style="1" customWidth="1"/>
    <col min="12" max="16384" width="9.140625" style="1"/>
  </cols>
  <sheetData>
    <row r="1" spans="1:11" ht="30" x14ac:dyDescent="0.25">
      <c r="A1" s="1" t="s">
        <v>1</v>
      </c>
      <c r="B1" s="1" t="s">
        <v>2</v>
      </c>
      <c r="C1" s="1" t="s">
        <v>0</v>
      </c>
      <c r="E1" s="1" t="s">
        <v>6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59</v>
      </c>
      <c r="K1" s="1" t="s">
        <v>11</v>
      </c>
    </row>
    <row r="2" spans="1:11" x14ac:dyDescent="0.25">
      <c r="A2" s="1">
        <v>1</v>
      </c>
      <c r="B2" s="1">
        <v>2024</v>
      </c>
      <c r="C2" s="1">
        <v>12</v>
      </c>
      <c r="E2" s="1" t="s">
        <v>13</v>
      </c>
      <c r="F2">
        <v>4668</v>
      </c>
      <c r="G2" s="1" t="s">
        <v>16</v>
      </c>
      <c r="H2" s="1" t="s">
        <v>17</v>
      </c>
      <c r="I2" s="3">
        <v>45299</v>
      </c>
      <c r="J2" s="1" t="s">
        <v>35</v>
      </c>
      <c r="K2" s="1" t="s">
        <v>21</v>
      </c>
    </row>
    <row r="3" spans="1:11" x14ac:dyDescent="0.25">
      <c r="A3" s="1">
        <v>1</v>
      </c>
      <c r="B3" s="1">
        <v>2024</v>
      </c>
      <c r="C3" s="1">
        <v>10</v>
      </c>
      <c r="E3" s="1" t="s">
        <v>13</v>
      </c>
      <c r="F3" s="1">
        <v>8169</v>
      </c>
      <c r="G3" s="1" t="s">
        <v>41</v>
      </c>
      <c r="H3" s="1" t="s">
        <v>41</v>
      </c>
      <c r="I3" s="3">
        <v>45299</v>
      </c>
      <c r="J3" s="1" t="s">
        <v>35</v>
      </c>
      <c r="K3" s="1" t="s">
        <v>21</v>
      </c>
    </row>
    <row r="4" spans="1:11" x14ac:dyDescent="0.25">
      <c r="A4" s="1">
        <v>1</v>
      </c>
      <c r="B4" s="1">
        <v>2024</v>
      </c>
      <c r="C4" s="1">
        <v>11</v>
      </c>
      <c r="E4" s="1" t="s">
        <v>13</v>
      </c>
      <c r="F4" s="1">
        <v>8169</v>
      </c>
      <c r="G4" s="1" t="s">
        <v>16</v>
      </c>
      <c r="H4" s="1" t="s">
        <v>17</v>
      </c>
      <c r="I4" s="3">
        <v>45299</v>
      </c>
      <c r="J4" s="1" t="s">
        <v>35</v>
      </c>
      <c r="K4" s="1" t="s">
        <v>21</v>
      </c>
    </row>
    <row r="5" spans="1:11" ht="30" x14ac:dyDescent="0.25">
      <c r="A5" s="1">
        <v>1</v>
      </c>
      <c r="B5" s="1">
        <v>2024</v>
      </c>
      <c r="C5" s="1">
        <v>23</v>
      </c>
      <c r="E5" s="1" t="s">
        <v>13</v>
      </c>
      <c r="F5">
        <v>31120</v>
      </c>
      <c r="G5" s="1" t="s">
        <v>19</v>
      </c>
      <c r="H5" s="1" t="s">
        <v>34</v>
      </c>
      <c r="I5" s="3">
        <v>45300</v>
      </c>
      <c r="J5" s="1" t="s">
        <v>35</v>
      </c>
      <c r="K5" s="1" t="s">
        <v>33</v>
      </c>
    </row>
    <row r="6" spans="1:11" x14ac:dyDescent="0.25">
      <c r="A6" s="1">
        <v>1</v>
      </c>
      <c r="B6" s="1">
        <v>2024</v>
      </c>
      <c r="C6">
        <v>24</v>
      </c>
      <c r="E6" s="1" t="s">
        <v>22</v>
      </c>
      <c r="F6">
        <v>43568</v>
      </c>
      <c r="G6" s="1" t="s">
        <v>28</v>
      </c>
      <c r="H6" s="1" t="s">
        <v>36</v>
      </c>
      <c r="I6" s="3">
        <v>45302</v>
      </c>
      <c r="K6" s="1" t="s">
        <v>33</v>
      </c>
    </row>
    <row r="7" spans="1:11" x14ac:dyDescent="0.25">
      <c r="A7" s="1">
        <v>1</v>
      </c>
      <c r="B7" s="1">
        <v>2024</v>
      </c>
      <c r="C7" s="1">
        <v>25</v>
      </c>
      <c r="E7" s="1" t="s">
        <v>23</v>
      </c>
      <c r="F7">
        <v>8169</v>
      </c>
      <c r="G7" t="s">
        <v>24</v>
      </c>
      <c r="H7" s="1" t="s">
        <v>25</v>
      </c>
      <c r="I7" s="3">
        <v>45303</v>
      </c>
      <c r="J7" s="1" t="s">
        <v>35</v>
      </c>
      <c r="K7" t="s">
        <v>37</v>
      </c>
    </row>
    <row r="8" spans="1:11" x14ac:dyDescent="0.25">
      <c r="A8" s="1">
        <v>1</v>
      </c>
      <c r="B8" s="1">
        <v>2024</v>
      </c>
      <c r="C8" s="1">
        <v>27</v>
      </c>
      <c r="E8" s="1" t="s">
        <v>22</v>
      </c>
      <c r="F8">
        <v>5446</v>
      </c>
      <c r="G8" s="1" t="s">
        <v>38</v>
      </c>
      <c r="H8" s="1" t="s">
        <v>38</v>
      </c>
      <c r="I8" s="2">
        <v>45303</v>
      </c>
      <c r="J8" s="1" t="s">
        <v>35</v>
      </c>
      <c r="K8" t="s">
        <v>37</v>
      </c>
    </row>
    <row r="9" spans="1:11" ht="30" x14ac:dyDescent="0.25">
      <c r="A9" s="1">
        <v>1</v>
      </c>
      <c r="B9" s="1">
        <v>2024</v>
      </c>
      <c r="C9" s="1">
        <v>28</v>
      </c>
      <c r="E9" s="1" t="s">
        <v>13</v>
      </c>
      <c r="F9">
        <v>6224</v>
      </c>
      <c r="G9" s="1" t="s">
        <v>19</v>
      </c>
      <c r="H9" s="1" t="s">
        <v>34</v>
      </c>
      <c r="I9" s="3">
        <v>45306</v>
      </c>
      <c r="J9" s="1" t="s">
        <v>35</v>
      </c>
      <c r="K9" s="4" t="s">
        <v>12</v>
      </c>
    </row>
    <row r="10" spans="1:11" ht="30" x14ac:dyDescent="0.25">
      <c r="A10" s="1">
        <v>1</v>
      </c>
      <c r="B10" s="1">
        <v>2024</v>
      </c>
      <c r="C10" s="1">
        <v>29</v>
      </c>
      <c r="E10" s="1" t="s">
        <v>23</v>
      </c>
      <c r="F10">
        <v>11281</v>
      </c>
      <c r="G10" s="1" t="s">
        <v>19</v>
      </c>
      <c r="H10" s="1" t="s">
        <v>39</v>
      </c>
      <c r="I10" s="3">
        <v>45307</v>
      </c>
      <c r="J10" s="1" t="s">
        <v>35</v>
      </c>
      <c r="K10" s="4" t="s">
        <v>12</v>
      </c>
    </row>
    <row r="11" spans="1:11" x14ac:dyDescent="0.25">
      <c r="A11" s="1">
        <v>1</v>
      </c>
      <c r="B11" s="1">
        <v>2024</v>
      </c>
      <c r="C11" s="1">
        <v>30</v>
      </c>
      <c r="E11" s="1" t="s">
        <v>23</v>
      </c>
      <c r="F11">
        <v>20617</v>
      </c>
      <c r="G11" s="1" t="s">
        <v>24</v>
      </c>
      <c r="H11" s="1" t="s">
        <v>25</v>
      </c>
      <c r="I11" s="3">
        <v>45309</v>
      </c>
      <c r="J11" s="1" t="s">
        <v>29</v>
      </c>
      <c r="K11" t="s">
        <v>40</v>
      </c>
    </row>
    <row r="12" spans="1:11" x14ac:dyDescent="0.25">
      <c r="A12" s="1">
        <v>1</v>
      </c>
      <c r="B12" s="1">
        <v>2024</v>
      </c>
      <c r="C12" s="1">
        <v>31</v>
      </c>
      <c r="E12" s="1" t="s">
        <v>13</v>
      </c>
      <c r="F12">
        <v>12448</v>
      </c>
      <c r="G12" s="1" t="s">
        <v>24</v>
      </c>
      <c r="H12" s="1" t="s">
        <v>25</v>
      </c>
      <c r="I12" s="3">
        <v>45309</v>
      </c>
      <c r="K12" t="s">
        <v>40</v>
      </c>
    </row>
    <row r="13" spans="1:11" ht="30" customHeight="1" x14ac:dyDescent="0.25">
      <c r="A13" s="1">
        <v>1</v>
      </c>
      <c r="B13" s="1">
        <v>2024</v>
      </c>
      <c r="C13" s="1">
        <v>14</v>
      </c>
      <c r="E13" s="1" t="s">
        <v>22</v>
      </c>
      <c r="F13">
        <v>12448</v>
      </c>
      <c r="G13" s="1" t="s">
        <v>19</v>
      </c>
      <c r="H13" s="1" t="s">
        <v>51</v>
      </c>
      <c r="I13" s="3">
        <v>45310</v>
      </c>
      <c r="J13" s="1" t="s">
        <v>35</v>
      </c>
      <c r="K13" t="s">
        <v>50</v>
      </c>
    </row>
    <row r="14" spans="1:11" x14ac:dyDescent="0.25">
      <c r="A14" s="1">
        <v>1</v>
      </c>
      <c r="B14" s="1">
        <v>2024</v>
      </c>
      <c r="C14" s="1">
        <v>32</v>
      </c>
      <c r="E14" s="1" t="s">
        <v>22</v>
      </c>
      <c r="F14">
        <v>8169</v>
      </c>
      <c r="G14" s="1" t="s">
        <v>41</v>
      </c>
      <c r="H14" s="1" t="s">
        <v>41</v>
      </c>
      <c r="I14" s="3">
        <v>45317</v>
      </c>
      <c r="J14" s="1" t="s">
        <v>42</v>
      </c>
      <c r="K14" s="1" t="s">
        <v>12</v>
      </c>
    </row>
    <row r="15" spans="1:11" x14ac:dyDescent="0.25">
      <c r="A15" s="1">
        <v>1</v>
      </c>
      <c r="B15" s="1">
        <v>2024</v>
      </c>
      <c r="C15" s="1">
        <v>33</v>
      </c>
      <c r="E15" s="1" t="s">
        <v>23</v>
      </c>
      <c r="F15">
        <v>8169</v>
      </c>
      <c r="G15" s="1" t="s">
        <v>9</v>
      </c>
      <c r="H15" s="1" t="s">
        <v>43</v>
      </c>
      <c r="I15" s="3">
        <v>45318</v>
      </c>
      <c r="J15" s="1" t="s">
        <v>44</v>
      </c>
      <c r="K15" s="1" t="s">
        <v>12</v>
      </c>
    </row>
    <row r="16" spans="1:11" x14ac:dyDescent="0.25">
      <c r="A16" s="1">
        <v>1</v>
      </c>
      <c r="B16" s="1">
        <v>2024</v>
      </c>
      <c r="C16" s="1">
        <v>34</v>
      </c>
      <c r="E16" s="1" t="s">
        <v>22</v>
      </c>
      <c r="F16">
        <v>16338</v>
      </c>
      <c r="G16" s="1" t="s">
        <v>38</v>
      </c>
      <c r="H16" s="1" t="s">
        <v>45</v>
      </c>
      <c r="I16" s="2">
        <v>45321</v>
      </c>
      <c r="J16" s="1" t="s">
        <v>46</v>
      </c>
      <c r="K16" t="s">
        <v>12</v>
      </c>
    </row>
    <row r="17" spans="1:11" x14ac:dyDescent="0.25">
      <c r="A17" s="1">
        <v>1</v>
      </c>
      <c r="B17" s="1">
        <v>2024</v>
      </c>
      <c r="C17" s="1">
        <v>35</v>
      </c>
      <c r="E17" s="1" t="s">
        <v>23</v>
      </c>
      <c r="F17">
        <v>8169</v>
      </c>
      <c r="G17" s="1" t="s">
        <v>28</v>
      </c>
      <c r="H17" s="1" t="s">
        <v>47</v>
      </c>
      <c r="I17" s="3">
        <v>45321</v>
      </c>
      <c r="J17" s="1" t="s">
        <v>48</v>
      </c>
      <c r="K17" s="1" t="s">
        <v>12</v>
      </c>
    </row>
    <row r="18" spans="1:11" x14ac:dyDescent="0.25">
      <c r="A18" s="1">
        <v>1</v>
      </c>
      <c r="B18" s="1">
        <v>2024</v>
      </c>
      <c r="C18" s="1">
        <v>36</v>
      </c>
      <c r="E18" s="1" t="s">
        <v>22</v>
      </c>
      <c r="F18">
        <v>8169</v>
      </c>
      <c r="G18" s="1" t="s">
        <v>24</v>
      </c>
      <c r="H18" s="1" t="s">
        <v>25</v>
      </c>
      <c r="I18" s="3">
        <v>45321</v>
      </c>
      <c r="J18" s="1" t="s">
        <v>35</v>
      </c>
      <c r="K18" t="s">
        <v>49</v>
      </c>
    </row>
    <row r="19" spans="1:11" x14ac:dyDescent="0.25">
      <c r="A19" s="1">
        <v>2</v>
      </c>
      <c r="B19" s="1">
        <v>2024</v>
      </c>
      <c r="C19" s="1">
        <v>37</v>
      </c>
      <c r="E19" s="1" t="s">
        <v>22</v>
      </c>
      <c r="F19">
        <v>6224</v>
      </c>
      <c r="G19" s="1" t="s">
        <v>24</v>
      </c>
      <c r="H19" s="1" t="s">
        <v>25</v>
      </c>
      <c r="I19" s="3">
        <v>45323</v>
      </c>
      <c r="J19" s="1" t="s">
        <v>29</v>
      </c>
      <c r="K19" t="s">
        <v>49</v>
      </c>
    </row>
    <row r="20" spans="1:11" x14ac:dyDescent="0.25">
      <c r="A20" s="1">
        <v>2</v>
      </c>
      <c r="B20" s="1">
        <v>2024</v>
      </c>
      <c r="C20" s="1">
        <v>39</v>
      </c>
      <c r="E20" s="1" t="s">
        <v>13</v>
      </c>
      <c r="F20" s="1">
        <v>16338</v>
      </c>
      <c r="G20" s="1" t="s">
        <v>14</v>
      </c>
      <c r="H20" s="1" t="s">
        <v>15</v>
      </c>
      <c r="I20" s="2">
        <v>45323</v>
      </c>
      <c r="K20" s="1" t="s">
        <v>12</v>
      </c>
    </row>
    <row r="21" spans="1:11" x14ac:dyDescent="0.25">
      <c r="A21" s="1">
        <v>2</v>
      </c>
      <c r="B21" s="1">
        <v>2024</v>
      </c>
      <c r="C21" s="1">
        <v>38</v>
      </c>
      <c r="E21" s="1" t="s">
        <v>8</v>
      </c>
      <c r="F21" s="1">
        <v>24507</v>
      </c>
      <c r="G21" s="1" t="s">
        <v>9</v>
      </c>
      <c r="H21" s="1" t="s">
        <v>10</v>
      </c>
      <c r="I21" s="2">
        <v>45324</v>
      </c>
      <c r="K21" s="1" t="s">
        <v>12</v>
      </c>
    </row>
    <row r="22" spans="1:11" x14ac:dyDescent="0.25">
      <c r="A22" s="1">
        <v>2</v>
      </c>
      <c r="B22" s="1">
        <v>2024</v>
      </c>
      <c r="C22" s="1">
        <v>40</v>
      </c>
      <c r="E22" s="1" t="s">
        <v>13</v>
      </c>
      <c r="F22" s="1">
        <v>40845</v>
      </c>
      <c r="G22" s="1" t="s">
        <v>16</v>
      </c>
      <c r="H22" s="1" t="s">
        <v>17</v>
      </c>
      <c r="I22" s="2">
        <v>45324</v>
      </c>
      <c r="K22" s="1" t="s">
        <v>12</v>
      </c>
    </row>
    <row r="23" spans="1:11" x14ac:dyDescent="0.25">
      <c r="A23" s="1">
        <v>2</v>
      </c>
      <c r="B23" s="1">
        <v>2024</v>
      </c>
      <c r="C23" s="1">
        <v>41</v>
      </c>
      <c r="E23" s="1" t="s">
        <v>8</v>
      </c>
      <c r="F23" s="1">
        <v>40845</v>
      </c>
      <c r="G23" s="1" t="s">
        <v>16</v>
      </c>
      <c r="H23" s="1" t="s">
        <v>18</v>
      </c>
      <c r="I23" s="2">
        <v>45325</v>
      </c>
      <c r="K23" s="1" t="s">
        <v>12</v>
      </c>
    </row>
    <row r="24" spans="1:11" ht="30" x14ac:dyDescent="0.25">
      <c r="A24" s="1">
        <v>2</v>
      </c>
      <c r="B24" s="1">
        <v>2024</v>
      </c>
      <c r="C24" s="1">
        <v>42</v>
      </c>
      <c r="E24" s="1" t="s">
        <v>22</v>
      </c>
      <c r="F24" s="1">
        <v>24507</v>
      </c>
      <c r="G24" s="1" t="s">
        <v>19</v>
      </c>
      <c r="H24" s="1" t="s">
        <v>20</v>
      </c>
      <c r="I24" s="2">
        <v>45325</v>
      </c>
      <c r="K24" s="1" t="s">
        <v>21</v>
      </c>
    </row>
    <row r="25" spans="1:11" ht="30" x14ac:dyDescent="0.25">
      <c r="A25" s="1">
        <v>2</v>
      </c>
      <c r="B25" s="1">
        <v>2024</v>
      </c>
      <c r="C25" s="1">
        <v>43</v>
      </c>
      <c r="E25" s="1" t="s">
        <v>23</v>
      </c>
      <c r="F25" s="1">
        <v>8169</v>
      </c>
      <c r="G25" s="1" t="s">
        <v>19</v>
      </c>
      <c r="H25" s="1" t="s">
        <v>20</v>
      </c>
      <c r="I25" s="2">
        <v>45326</v>
      </c>
      <c r="K25" s="1" t="s">
        <v>21</v>
      </c>
    </row>
    <row r="26" spans="1:11" x14ac:dyDescent="0.25">
      <c r="A26" s="1">
        <v>2</v>
      </c>
      <c r="B26" s="1">
        <v>2024</v>
      </c>
      <c r="C26" s="1">
        <v>44</v>
      </c>
      <c r="E26" s="1" t="s">
        <v>22</v>
      </c>
      <c r="F26" s="1">
        <v>12059</v>
      </c>
      <c r="G26" s="1" t="s">
        <v>24</v>
      </c>
      <c r="H26" s="1" t="s">
        <v>25</v>
      </c>
      <c r="I26" s="2">
        <v>45327</v>
      </c>
      <c r="K26" s="1" t="s">
        <v>21</v>
      </c>
    </row>
    <row r="27" spans="1:11" x14ac:dyDescent="0.25">
      <c r="A27" s="1">
        <v>2</v>
      </c>
      <c r="B27" s="1">
        <v>2024</v>
      </c>
      <c r="C27" s="1">
        <v>45</v>
      </c>
      <c r="E27" s="1" t="s">
        <v>22</v>
      </c>
      <c r="F27" s="1">
        <v>21395</v>
      </c>
      <c r="G27" s="1" t="s">
        <v>14</v>
      </c>
      <c r="H27" s="1" t="s">
        <v>26</v>
      </c>
      <c r="I27" s="2">
        <v>45327</v>
      </c>
      <c r="K27" s="1" t="s">
        <v>12</v>
      </c>
    </row>
    <row r="28" spans="1:11" x14ac:dyDescent="0.25">
      <c r="A28" s="1">
        <v>2</v>
      </c>
      <c r="B28" s="1">
        <v>2024</v>
      </c>
      <c r="C28" s="1">
        <v>46</v>
      </c>
      <c r="E28" s="1" t="s">
        <v>8</v>
      </c>
      <c r="F28" s="1">
        <v>9725</v>
      </c>
      <c r="G28" s="1" t="s">
        <v>24</v>
      </c>
      <c r="H28" s="1" t="s">
        <v>25</v>
      </c>
      <c r="I28" s="2">
        <v>45331</v>
      </c>
      <c r="K28" s="1" t="s">
        <v>27</v>
      </c>
    </row>
    <row r="29" spans="1:11" ht="15" customHeight="1" x14ac:dyDescent="0.25">
      <c r="A29" s="1">
        <v>2</v>
      </c>
      <c r="B29" s="1">
        <v>2024</v>
      </c>
      <c r="C29" s="1">
        <v>47</v>
      </c>
      <c r="E29" s="1" t="s">
        <v>22</v>
      </c>
      <c r="F29" s="1">
        <v>8169</v>
      </c>
      <c r="G29" s="1" t="s">
        <v>28</v>
      </c>
      <c r="H29" s="1" t="s">
        <v>31</v>
      </c>
      <c r="I29" s="2">
        <v>45331</v>
      </c>
      <c r="J29" s="1" t="s">
        <v>29</v>
      </c>
      <c r="K29" s="1" t="s">
        <v>12</v>
      </c>
    </row>
    <row r="30" spans="1:11" x14ac:dyDescent="0.25">
      <c r="A30" s="1">
        <v>2</v>
      </c>
      <c r="B30" s="1">
        <v>2024</v>
      </c>
      <c r="C30" s="1">
        <v>48</v>
      </c>
      <c r="E30" s="1" t="s">
        <v>22</v>
      </c>
      <c r="F30" s="1">
        <v>8169</v>
      </c>
      <c r="G30" s="1" t="s">
        <v>16</v>
      </c>
      <c r="H30" s="1" t="s">
        <v>58</v>
      </c>
      <c r="I30" s="2">
        <v>45333</v>
      </c>
      <c r="J30" s="1" t="s">
        <v>30</v>
      </c>
      <c r="K30" s="1" t="s">
        <v>12</v>
      </c>
    </row>
    <row r="31" spans="1:11" x14ac:dyDescent="0.25">
      <c r="A31" s="1">
        <v>2</v>
      </c>
      <c r="B31" s="1">
        <v>2024</v>
      </c>
      <c r="C31" s="1">
        <v>49</v>
      </c>
      <c r="E31" s="1" t="s">
        <v>22</v>
      </c>
      <c r="F31" s="1">
        <v>24507</v>
      </c>
      <c r="G31" s="1" t="s">
        <v>28</v>
      </c>
      <c r="H31" s="1" t="s">
        <v>47</v>
      </c>
      <c r="I31" s="2">
        <v>45336</v>
      </c>
      <c r="K31" s="1" t="s">
        <v>32</v>
      </c>
    </row>
    <row r="32" spans="1:11" x14ac:dyDescent="0.25">
      <c r="A32" s="1">
        <v>1</v>
      </c>
      <c r="B32" s="1">
        <v>2024</v>
      </c>
      <c r="C32" s="1">
        <v>26</v>
      </c>
      <c r="F32"/>
      <c r="I32" s="2"/>
      <c r="K32"/>
    </row>
  </sheetData>
  <sortState xmlns:xlrd2="http://schemas.microsoft.com/office/spreadsheetml/2017/richdata2" ref="A2:J32">
    <sortCondition ref="I2:I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3"/>
  <sheetViews>
    <sheetView tabSelected="1" topLeftCell="A25" workbookViewId="0">
      <selection activeCell="B15" sqref="B15"/>
    </sheetView>
  </sheetViews>
  <sheetFormatPr defaultRowHeight="15" x14ac:dyDescent="0.25"/>
  <cols>
    <col min="1" max="1" width="30.28515625" customWidth="1"/>
    <col min="2" max="2" width="16.28515625" bestFit="1" customWidth="1"/>
    <col min="3" max="3" width="9.42578125" customWidth="1"/>
    <col min="4" max="4" width="9.7109375" customWidth="1"/>
    <col min="5" max="5" width="11.7109375" customWidth="1"/>
    <col min="6" max="6" width="8.7109375" customWidth="1"/>
    <col min="7" max="7" width="7.28515625" customWidth="1"/>
    <col min="8" max="8" width="9.42578125" customWidth="1"/>
    <col min="9" max="9" width="7.85546875" customWidth="1"/>
    <col min="10" max="10" width="7.28515625" customWidth="1"/>
    <col min="11" max="11" width="11.28515625" customWidth="1"/>
    <col min="12" max="12" width="7.5703125" customWidth="1"/>
    <col min="13" max="14" width="7.140625" customWidth="1"/>
    <col min="15" max="15" width="6" customWidth="1"/>
    <col min="16" max="16" width="16.7109375" bestFit="1" customWidth="1"/>
    <col min="17" max="17" width="10.5703125" bestFit="1" customWidth="1"/>
    <col min="18" max="18" width="13.7109375" bestFit="1" customWidth="1"/>
    <col min="19" max="19" width="9.140625" bestFit="1" customWidth="1"/>
    <col min="20" max="20" width="7.7109375" bestFit="1" customWidth="1"/>
    <col min="21" max="21" width="6.85546875" customWidth="1"/>
    <col min="22" max="22" width="12.140625" bestFit="1" customWidth="1"/>
    <col min="23" max="23" width="11.28515625" customWidth="1"/>
    <col min="24" max="24" width="8" customWidth="1"/>
    <col min="25" max="25" width="14.42578125" bestFit="1" customWidth="1"/>
    <col min="26" max="26" width="9.7109375" bestFit="1" customWidth="1"/>
    <col min="27" max="27" width="14.28515625" bestFit="1" customWidth="1"/>
    <col min="28" max="28" width="6.28515625" customWidth="1"/>
    <col min="29" max="29" width="12.7109375" bestFit="1" customWidth="1"/>
    <col min="31" max="31" width="12.140625" bestFit="1" customWidth="1"/>
    <col min="32" max="32" width="11.28515625" bestFit="1" customWidth="1"/>
  </cols>
  <sheetData>
    <row r="2" spans="1:11" x14ac:dyDescent="0.25">
      <c r="A2" s="5" t="s">
        <v>0</v>
      </c>
      <c r="B2" t="s">
        <v>56</v>
      </c>
    </row>
    <row r="3" spans="1:11" x14ac:dyDescent="0.25">
      <c r="A3" s="5" t="s">
        <v>7</v>
      </c>
      <c r="B3" t="s">
        <v>56</v>
      </c>
    </row>
    <row r="5" spans="1:11" x14ac:dyDescent="0.25">
      <c r="A5" s="5" t="s">
        <v>57</v>
      </c>
      <c r="B5" s="5" t="s">
        <v>55</v>
      </c>
    </row>
    <row r="6" spans="1:11" x14ac:dyDescent="0.25">
      <c r="A6" s="5" t="s">
        <v>52</v>
      </c>
      <c r="B6" t="s">
        <v>14</v>
      </c>
      <c r="C6" t="s">
        <v>38</v>
      </c>
      <c r="D6" t="s">
        <v>24</v>
      </c>
      <c r="E6" t="s">
        <v>19</v>
      </c>
      <c r="F6" t="s">
        <v>41</v>
      </c>
      <c r="G6" t="s">
        <v>16</v>
      </c>
      <c r="H6" t="s">
        <v>9</v>
      </c>
      <c r="I6" t="s">
        <v>28</v>
      </c>
      <c r="J6" t="s">
        <v>53</v>
      </c>
      <c r="K6" t="s">
        <v>54</v>
      </c>
    </row>
    <row r="7" spans="1:11" x14ac:dyDescent="0.25">
      <c r="A7" s="6" t="s">
        <v>12</v>
      </c>
      <c r="B7" s="7">
        <v>37733</v>
      </c>
      <c r="C7" s="7">
        <v>16338</v>
      </c>
      <c r="D7" s="7"/>
      <c r="E7" s="7">
        <v>17505</v>
      </c>
      <c r="F7" s="7">
        <v>8169</v>
      </c>
      <c r="G7" s="7">
        <v>89859</v>
      </c>
      <c r="H7" s="7">
        <v>32676</v>
      </c>
      <c r="I7" s="7">
        <v>16338</v>
      </c>
      <c r="J7" s="7"/>
      <c r="K7" s="7">
        <v>218618</v>
      </c>
    </row>
    <row r="8" spans="1:11" x14ac:dyDescent="0.25">
      <c r="A8" s="6" t="s">
        <v>50</v>
      </c>
      <c r="B8" s="7"/>
      <c r="C8" s="7"/>
      <c r="D8" s="7"/>
      <c r="E8" s="7">
        <v>12448</v>
      </c>
      <c r="F8" s="7"/>
      <c r="G8" s="7"/>
      <c r="H8" s="7"/>
      <c r="I8" s="7"/>
      <c r="J8" s="7"/>
      <c r="K8" s="7">
        <v>12448</v>
      </c>
    </row>
    <row r="9" spans="1:11" x14ac:dyDescent="0.25">
      <c r="A9" s="6" t="s">
        <v>33</v>
      </c>
      <c r="B9" s="7"/>
      <c r="C9" s="7"/>
      <c r="D9" s="7"/>
      <c r="E9" s="7">
        <v>31120</v>
      </c>
      <c r="F9" s="7"/>
      <c r="G9" s="7"/>
      <c r="H9" s="7"/>
      <c r="I9" s="7">
        <v>43568</v>
      </c>
      <c r="J9" s="7"/>
      <c r="K9" s="7">
        <v>74688</v>
      </c>
    </row>
    <row r="10" spans="1:11" x14ac:dyDescent="0.25">
      <c r="A10" s="6" t="s">
        <v>37</v>
      </c>
      <c r="B10" s="7"/>
      <c r="C10" s="7">
        <v>5446</v>
      </c>
      <c r="D10" s="7">
        <v>8169</v>
      </c>
      <c r="E10" s="7"/>
      <c r="F10" s="7"/>
      <c r="G10" s="7"/>
      <c r="H10" s="7"/>
      <c r="I10" s="7"/>
      <c r="J10" s="7"/>
      <c r="K10" s="7">
        <v>13615</v>
      </c>
    </row>
    <row r="11" spans="1:11" x14ac:dyDescent="0.25">
      <c r="A11" s="6" t="s">
        <v>21</v>
      </c>
      <c r="B11" s="7"/>
      <c r="C11" s="7"/>
      <c r="D11" s="7">
        <v>12059</v>
      </c>
      <c r="E11" s="7">
        <v>32676</v>
      </c>
      <c r="F11" s="7">
        <v>8169</v>
      </c>
      <c r="G11" s="7">
        <v>12837</v>
      </c>
      <c r="H11" s="7"/>
      <c r="I11" s="7"/>
      <c r="J11" s="7"/>
      <c r="K11" s="7">
        <v>65741</v>
      </c>
    </row>
    <row r="12" spans="1:11" x14ac:dyDescent="0.25">
      <c r="A12" s="6" t="s">
        <v>49</v>
      </c>
      <c r="B12" s="7"/>
      <c r="C12" s="7"/>
      <c r="D12" s="7">
        <v>14393</v>
      </c>
      <c r="E12" s="7"/>
      <c r="F12" s="7"/>
      <c r="G12" s="7"/>
      <c r="H12" s="7"/>
      <c r="I12" s="7"/>
      <c r="J12" s="7"/>
      <c r="K12" s="7">
        <v>14393</v>
      </c>
    </row>
    <row r="13" spans="1:11" x14ac:dyDescent="0.25">
      <c r="A13" s="6" t="s">
        <v>40</v>
      </c>
      <c r="B13" s="7"/>
      <c r="C13" s="7"/>
      <c r="D13" s="7">
        <v>33065</v>
      </c>
      <c r="E13" s="7"/>
      <c r="F13" s="7"/>
      <c r="G13" s="7"/>
      <c r="H13" s="7"/>
      <c r="I13" s="7"/>
      <c r="J13" s="7"/>
      <c r="K13" s="7">
        <v>33065</v>
      </c>
    </row>
    <row r="14" spans="1:11" x14ac:dyDescent="0.25">
      <c r="A14" s="6" t="s">
        <v>32</v>
      </c>
      <c r="B14" s="7"/>
      <c r="C14" s="7"/>
      <c r="D14" s="7"/>
      <c r="E14" s="7"/>
      <c r="F14" s="7"/>
      <c r="G14" s="7"/>
      <c r="H14" s="7"/>
      <c r="I14" s="7">
        <v>24507</v>
      </c>
      <c r="J14" s="7"/>
      <c r="K14" s="7">
        <v>24507</v>
      </c>
    </row>
    <row r="15" spans="1:11" x14ac:dyDescent="0.25">
      <c r="A15" s="6" t="s">
        <v>27</v>
      </c>
      <c r="B15" s="7"/>
      <c r="C15" s="7"/>
      <c r="D15" s="7">
        <v>9725</v>
      </c>
      <c r="E15" s="7"/>
      <c r="F15" s="7"/>
      <c r="G15" s="7"/>
      <c r="H15" s="7"/>
      <c r="I15" s="7"/>
      <c r="J15" s="7"/>
      <c r="K15" s="7">
        <v>9725</v>
      </c>
    </row>
    <row r="16" spans="1:11" x14ac:dyDescent="0.25">
      <c r="A16" s="6" t="s">
        <v>53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6" t="s">
        <v>54</v>
      </c>
      <c r="B17" s="7">
        <v>37733</v>
      </c>
      <c r="C17" s="7">
        <v>21784</v>
      </c>
      <c r="D17" s="7">
        <v>77411</v>
      </c>
      <c r="E17" s="7">
        <v>93749</v>
      </c>
      <c r="F17" s="7">
        <v>16338</v>
      </c>
      <c r="G17" s="7">
        <v>102696</v>
      </c>
      <c r="H17" s="7">
        <v>32676</v>
      </c>
      <c r="I17" s="7">
        <v>84413</v>
      </c>
      <c r="J17" s="7"/>
      <c r="K17" s="7">
        <v>466800</v>
      </c>
    </row>
    <row r="29" spans="1:11" x14ac:dyDescent="0.25">
      <c r="A29" s="5" t="s">
        <v>0</v>
      </c>
      <c r="B29" t="s">
        <v>56</v>
      </c>
    </row>
    <row r="30" spans="1:11" x14ac:dyDescent="0.25">
      <c r="A30" s="5" t="s">
        <v>7</v>
      </c>
      <c r="B30" t="s">
        <v>56</v>
      </c>
    </row>
    <row r="32" spans="1:11" x14ac:dyDescent="0.25">
      <c r="A32" s="5" t="s">
        <v>52</v>
      </c>
      <c r="B32" t="s">
        <v>57</v>
      </c>
    </row>
    <row r="33" spans="1:2" x14ac:dyDescent="0.25">
      <c r="A33" s="6" t="s">
        <v>12</v>
      </c>
      <c r="B33">
        <v>218618</v>
      </c>
    </row>
    <row r="34" spans="1:2" x14ac:dyDescent="0.25">
      <c r="A34" s="6" t="s">
        <v>50</v>
      </c>
      <c r="B34">
        <v>12448</v>
      </c>
    </row>
    <row r="35" spans="1:2" x14ac:dyDescent="0.25">
      <c r="A35" s="6" t="s">
        <v>33</v>
      </c>
      <c r="B35">
        <v>74688</v>
      </c>
    </row>
    <row r="36" spans="1:2" x14ac:dyDescent="0.25">
      <c r="A36" s="6" t="s">
        <v>37</v>
      </c>
      <c r="B36">
        <v>13615</v>
      </c>
    </row>
    <row r="37" spans="1:2" x14ac:dyDescent="0.25">
      <c r="A37" s="6" t="s">
        <v>21</v>
      </c>
      <c r="B37">
        <v>65741</v>
      </c>
    </row>
    <row r="38" spans="1:2" x14ac:dyDescent="0.25">
      <c r="A38" s="6" t="s">
        <v>49</v>
      </c>
      <c r="B38">
        <v>14393</v>
      </c>
    </row>
    <row r="39" spans="1:2" x14ac:dyDescent="0.25">
      <c r="A39" s="6" t="s">
        <v>40</v>
      </c>
      <c r="B39">
        <v>33065</v>
      </c>
    </row>
    <row r="40" spans="1:2" x14ac:dyDescent="0.25">
      <c r="A40" s="6" t="s">
        <v>32</v>
      </c>
      <c r="B40">
        <v>24507</v>
      </c>
    </row>
    <row r="41" spans="1:2" x14ac:dyDescent="0.25">
      <c r="A41" s="6" t="s">
        <v>27</v>
      </c>
      <c r="B41">
        <v>9725</v>
      </c>
    </row>
    <row r="42" spans="1:2" x14ac:dyDescent="0.25">
      <c r="A42" s="6" t="s">
        <v>53</v>
      </c>
    </row>
    <row r="43" spans="1:2" x14ac:dyDescent="0.25">
      <c r="A43" s="6" t="s">
        <v>54</v>
      </c>
      <c r="B43">
        <v>466800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Klett</dc:creator>
  <cp:lastModifiedBy>Samuel Klett</cp:lastModifiedBy>
  <dcterms:created xsi:type="dcterms:W3CDTF">2024-02-25T17:17:55Z</dcterms:created>
  <dcterms:modified xsi:type="dcterms:W3CDTF">2026-05-11T00:19:17Z</dcterms:modified>
</cp:coreProperties>
</file>