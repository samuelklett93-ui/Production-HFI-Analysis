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theme/themeOverride1.xml" ContentType="application/vnd.openxmlformats-officedocument.themeOverrid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Sam Klett\Desktop\"/>
    </mc:Choice>
  </mc:AlternateContent>
  <xr:revisionPtr revIDLastSave="0" documentId="13_ncr:1_{14B6D098-A70D-47C7-8D21-E3F05BD6F2A6}" xr6:coauthVersionLast="47" xr6:coauthVersionMax="47" xr10:uidLastSave="{00000000-0000-0000-0000-000000000000}"/>
  <bookViews>
    <workbookView xWindow="0" yWindow="285" windowWidth="27855" windowHeight="11385" xr2:uid="{00000000-000D-0000-FFFF-FFFF00000000}"/>
  </bookViews>
  <sheets>
    <sheet name="Data Sheet" sheetId="1" r:id="rId1"/>
    <sheet name="Pivot Tables" sheetId="4" r:id="rId2"/>
    <sheet name="Charts" sheetId="2" r:id="rId3"/>
    <sheet name="Sheet3" sheetId="3" r:id="rId4"/>
  </sheets>
  <definedNames>
    <definedName name="Slicer_Date">#N/A</definedName>
    <definedName name="Slicer_Label">#N/A</definedName>
  </definedNames>
  <calcPr calcId="144525" iterateCount="1"/>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<sst xmlns="http://schemas.openxmlformats.org/spreadsheetml/2006/main" count="193" uniqueCount="60">
  <si>
    <t>HFI #</t>
  </si>
  <si>
    <t>Month</t>
  </si>
  <si>
    <t>Year</t>
  </si>
  <si>
    <t>Unit Quantity</t>
  </si>
  <si>
    <t>Level 1 Error</t>
  </si>
  <si>
    <t>Level 2 Error</t>
  </si>
  <si>
    <t>Shift</t>
  </si>
  <si>
    <t>Date</t>
  </si>
  <si>
    <t>B</t>
  </si>
  <si>
    <t>Palletizer</t>
  </si>
  <si>
    <t>Plunger</t>
  </si>
  <si>
    <t>Label</t>
  </si>
  <si>
    <t>Brites</t>
  </si>
  <si>
    <t>A</t>
  </si>
  <si>
    <t>Bodymaker</t>
  </si>
  <si>
    <t>#3</t>
  </si>
  <si>
    <t>Necker</t>
  </si>
  <si>
    <t>Camera</t>
  </si>
  <si>
    <t>Infeed</t>
  </si>
  <si>
    <t>Inside Spray</t>
  </si>
  <si>
    <t>Gun # 6</t>
  </si>
  <si>
    <t>Crafty Radler</t>
  </si>
  <si>
    <t>C</t>
  </si>
  <si>
    <t>D</t>
  </si>
  <si>
    <t>Decorator</t>
  </si>
  <si>
    <t>Printer 2</t>
  </si>
  <si>
    <t>#1</t>
  </si>
  <si>
    <t>Vaulted Blue IPA</t>
  </si>
  <si>
    <t>Washer</t>
  </si>
  <si>
    <t>Crush</t>
  </si>
  <si>
    <t>Fill</t>
  </si>
  <si>
    <t>Contamination</t>
  </si>
  <si>
    <t>Original Sin White Widow</t>
  </si>
  <si>
    <t>Citizen Cider "The Dirty Mayor"</t>
  </si>
  <si>
    <t>Gun #7</t>
  </si>
  <si>
    <t>Sort</t>
  </si>
  <si>
    <t>Dome</t>
  </si>
  <si>
    <t>Citizen Cider Unified Press</t>
  </si>
  <si>
    <t>Conveyer</t>
  </si>
  <si>
    <t>Gun #8</t>
  </si>
  <si>
    <t>Mackinnon Brothers Red Fox Ale</t>
  </si>
  <si>
    <t>Multiple</t>
  </si>
  <si>
    <t>Scrap</t>
  </si>
  <si>
    <t>Uneven</t>
  </si>
  <si>
    <t>Fix</t>
  </si>
  <si>
    <t>Line Control</t>
  </si>
  <si>
    <t>Reface</t>
  </si>
  <si>
    <t>Belt</t>
  </si>
  <si>
    <t>Released</t>
  </si>
  <si>
    <t>Crosscut</t>
  </si>
  <si>
    <t>Castle Island Keeper</t>
  </si>
  <si>
    <t>Gun # 5</t>
  </si>
  <si>
    <t>Row Labels</t>
  </si>
  <si>
    <t>(blank)</t>
  </si>
  <si>
    <t>Grand Total</t>
  </si>
  <si>
    <t>Column Labels</t>
  </si>
  <si>
    <t>(All)</t>
  </si>
  <si>
    <t>Sum of Unit Quantity</t>
  </si>
  <si>
    <t>Batwings</t>
  </si>
  <si>
    <t>Disposition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</si>
</sst>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14" fontId="0" fillId="0" borderId="0" xfId="0" applyNumberFormat="1" applyAlignment="1">
      <alignment wrapText="1"/>
    </xf>
    <xf numFmtId="14" fontId="0" fillId="0" borderId="0" xfId="0" applyNumberFormat="1"/>
    <xf numFmtId="0" fontId="1" fillId="0" borderId="0" xfId="0" applyFont="1" applyAlignment="1">
      <alignment wrapText="1"/>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[HFI Analysis.xlsx]Pivot Tables!PivotTable2</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Total</c:v>
                </c:pt>
              </c:strCache>
            </c:strRef>
          </c:tx>
          <c:invertIfNegative val="0"/>
          <c:cat>
            <c:strRef>
              <c:f>'Pivot Tables'!$A$33:$A$43</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Tables'!$B$33:$B$43</c:f>
              <c:numCache>
                <c:formatCode>General</c:formatCode>
                <c:ptCount val="10"/>
                <c:pt idx="0">
                  <c:v>218618</c:v>
                </c:pt>
                <c:pt idx="1">
                  <c:v>12448</c:v>
                </c:pt>
                <c:pt idx="2">
                  <c:v>74688</c:v>
                </c:pt>
                <c:pt idx="3">
                  <c:v>13615</c:v>
                </c:pt>
                <c:pt idx="4">
                  <c:v>65741</c:v>
                </c:pt>
                <c:pt idx="5">
                  <c:v>14393</c:v>
                </c:pt>
                <c:pt idx="6">
                  <c:v>33065</c:v>
                </c:pt>
                <c:pt idx="7">
                  <c:v>24507</c:v>
                </c:pt>
                <c:pt idx="8">
                  <c:v>9725</c:v>
                </c:pt>
              </c:numCache>
            </c:numRef>
          </c:val>
          <c:extLst>
            <c:ext xmlns:c16="http://schemas.microsoft.com/office/drawing/2014/chart" uri="{C3380CC4-5D6E-409C-BE32-E72D297353CC}">
              <c16:uniqueId val="{00000000-7C67-48DB-BB39-CE7BCAC1455F}"/>
            </c:ext>
          </c:extLst>
        </c:ser>
        <c:dLbls>
          <c:showLegendKey val="0"/>
          <c:showVal val="0"/>
          <c:showCatName val="0"/>
          <c:showSerName val="0"/>
          <c:showPercent val="0"/>
          <c:showBubbleSize val="0"/>
        </c:dLbls>
        <c:gapWidth val="150"/>
        <c:axId val="49649152"/>
        <c:axId val="49658112"/>
      </c:barChart>
      <c:catAx>
        <c:axId val="49649152"/>
        <c:scaling>
          <c:orientation val="minMax"/>
        </c:scaling>
        <c:delete val="0"/>
        <c:axPos val="b"/>
        <c:numFmt formatCode="General" sourceLinked="0"/>
        <c:majorTickMark val="out"/>
        <c:minorTickMark val="none"/>
        <c:tickLblPos val="nextTo"/>
        <c:crossAx val="49658112"/>
        <c:crosses val="autoZero"/>
        <c:auto val="1"/>
        <c:lblAlgn val="ctr"/>
        <c:lblOffset val="100"/>
        <c:noMultiLvlLbl val="0"/>
      </c:catAx>
      <c:valAx>
        <c:axId val="49658112"/>
        <c:scaling>
          <c:orientation val="minMax"/>
        </c:scaling>
        <c:delete val="0"/>
        <c:axPos val="l"/>
        <c:majorGridlines/>
        <c:numFmt formatCode="General" sourceLinked="1"/>
        <c:majorTickMark val="out"/>
        <c:minorTickMark val="none"/>
        <c:tickLblPos val="nextTo"/>
        <c:crossAx val="4964915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[HFI Analysis.xlsx]Pivot Tables!PivotTable1</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Tables'!$B$5:$B$6</c:f>
              <c:strCache>
                <c:ptCount val="1"/>
                <c:pt idx="0">
                  <c:v>Bodymaker</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Tables'!$B$7:$B$17</c:f>
              <c:numCache>
                <c:formatCode>General</c:formatCode>
                <c:ptCount val="10"/>
                <c:pt idx="0">
                  <c:v>37733</c:v>
                </c:pt>
              </c:numCache>
            </c:numRef>
          </c:val>
          <c:extLst>
            <c:ext xmlns:c16="http://schemas.microsoft.com/office/drawing/2014/chart" uri="{C3380CC4-5D6E-409C-BE32-E72D297353CC}">
              <c16:uniqueId val="{00000000-FC2F-43F7-A5CA-92C25E94E3F3}"/>
            </c:ext>
          </c:extLst>
        </c:ser>
        <c:ser>
          <c:idx val="1"/>
          <c:order val="1"/>
          <c:tx>
            <c:strRef>
              <c:f>'Pivot Tables'!$C$5:$C$6</c:f>
              <c:strCache>
                <c:ptCount val="1"/>
                <c:pt idx="0">
                  <c:v>Conveyer</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Tables'!$C$7:$C$17</c:f>
              <c:numCache>
                <c:formatCode>General</c:formatCode>
                <c:ptCount val="10"/>
                <c:pt idx="0">
                  <c:v>16338</c:v>
                </c:pt>
                <c:pt idx="3">
                  <c:v>5446</c:v>
                </c:pt>
              </c:numCache>
            </c:numRef>
          </c:val>
          <c:extLst>
            <c:ext xmlns:c16="http://schemas.microsoft.com/office/drawing/2014/chart" uri="{C3380CC4-5D6E-409C-BE32-E72D297353CC}">
              <c16:uniqueId val="{00000001-FC2F-43F7-A5CA-92C25E94E3F3}"/>
            </c:ext>
          </c:extLst>
        </c:ser>
        <c:ser>
          <c:idx val="2"/>
          <c:order val="2"/>
          <c:tx>
            <c:strRef>
              <c:f>'Pivot Tables'!$D$5:$D$6</c:f>
              <c:strCache>
                <c:ptCount val="1"/>
                <c:pt idx="0">
                  <c:v>Decorator</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Tables'!$D$7:$D$17</c:f>
              <c:numCache>
                <c:formatCode>General</c:formatCode>
                <c:ptCount val="10"/>
                <c:pt idx="3">
                  <c:v>8169</c:v>
                </c:pt>
                <c:pt idx="4">
                  <c:v>12059</c:v>
                </c:pt>
                <c:pt idx="5">
                  <c:v>14393</c:v>
                </c:pt>
                <c:pt idx="6">
                  <c:v>33065</c:v>
                </c:pt>
                <c:pt idx="8">
                  <c:v>9725</c:v>
                </c:pt>
              </c:numCache>
            </c:numRef>
          </c:val>
          <c:extLst>
            <c:ext xmlns:c16="http://schemas.microsoft.com/office/drawing/2014/chart" uri="{C3380CC4-5D6E-409C-BE32-E72D297353CC}">
              <c16:uniqueId val="{00000002-FC2F-43F7-A5CA-92C25E94E3F3}"/>
            </c:ext>
          </c:extLst>
        </c:ser>
        <c:ser>
          <c:idx val="3"/>
          <c:order val="3"/>
          <c:tx>
            <c:strRef>
              <c:f>'Pivot Tables'!$E$5:$E$6</c:f>
              <c:strCache>
                <c:ptCount val="1"/>
                <c:pt idx="0">
                  <c:v>Inside Spray</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Tables'!$E$7:$E$17</c:f>
              <c:numCache>
                <c:formatCode>General</c:formatCode>
                <c:ptCount val="10"/>
                <c:pt idx="0">
                  <c:v>17505</c:v>
                </c:pt>
                <c:pt idx="1">
                  <c:v>12448</c:v>
                </c:pt>
                <c:pt idx="2">
                  <c:v>31120</c:v>
                </c:pt>
                <c:pt idx="4">
                  <c:v>32676</c:v>
                </c:pt>
              </c:numCache>
            </c:numRef>
          </c:val>
          <c:extLst>
            <c:ext xmlns:c16="http://schemas.microsoft.com/office/drawing/2014/chart" uri="{C3380CC4-5D6E-409C-BE32-E72D297353CC}">
              <c16:uniqueId val="{00000003-FC2F-43F7-A5CA-92C25E94E3F3}"/>
            </c:ext>
          </c:extLst>
        </c:ser>
        <c:ser>
          <c:idx val="4"/>
          <c:order val="4"/>
          <c:tx>
            <c:strRef>
              <c:f>'Pivot Tables'!$F$5:$F$6</c:f>
              <c:strCache>
                <c:ptCount val="1"/>
                <c:pt idx="0">
                  <c:v>Multiple</c:v>
                </c:pt>
              </c:strCache>
            </c:strRef>
          </c:tx>
          <c:invertIfNegative val="0"/>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Tables'!$F$7:$F$17</c:f>
              <c:numCache>
                <c:formatCode>General</c:formatCode>
                <c:ptCount val="10"/>
                <c:pt idx="0">
                  <c:v>8169</c:v>
                </c:pt>
                <c:pt idx="4">
                  <c:v>8169</c:v>
                </c:pt>
              </c:numCache>
            </c:numRef>
          </c:val>
          <c:extLst>
            <c:ext xmlns:c16="http://schemas.microsoft.com/office/drawing/2014/chart" uri="{C3380CC4-5D6E-409C-BE32-E72D297353CC}">
              <c16:uniqueId val="{00000004-FC2F-43F7-A5CA-92C25E94E3F3}"/>
            </c:ext>
          </c:extLst>
        </c:ser>
        <c:ser>
          <c:idx val="5"/>
          <c:order val="5"/>
          <c:tx>
            <c:strRef>
              <c:f>'Pivot Tables'!$G$5:$G$6</c:f>
              <c:strCache>
                <c:ptCount val="1"/>
                <c:pt idx="0">
                  <c:v>Necker</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Tables'!$G$7:$G$17</c:f>
              <c:numCache>
                <c:formatCode>General</c:formatCode>
                <c:ptCount val="10"/>
                <c:pt idx="0">
                  <c:v>89859</c:v>
                </c:pt>
                <c:pt idx="4">
                  <c:v>12837</c:v>
                </c:pt>
              </c:numCache>
            </c:numRef>
          </c:val>
          <c:extLst>
            <c:ext xmlns:c16="http://schemas.microsoft.com/office/drawing/2014/chart" uri="{C3380CC4-5D6E-409C-BE32-E72D297353CC}">
              <c16:uniqueId val="{00000005-FC2F-43F7-A5CA-92C25E94E3F3}"/>
            </c:ext>
          </c:extLst>
        </c:ser>
        <c:ser>
          <c:idx val="6"/>
          <c:order val="6"/>
          <c:tx>
            <c:strRef>
              <c:f>'Pivot Tables'!$H$5:$H$6</c:f>
              <c:strCache>
                <c:ptCount val="1"/>
                <c:pt idx="0">
                  <c:v>Palletizer</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Tables'!$H$7:$H$17</c:f>
              <c:numCache>
                <c:formatCode>General</c:formatCode>
                <c:ptCount val="10"/>
                <c:pt idx="0">
                  <c:v>32676</c:v>
                </c:pt>
              </c:numCache>
            </c:numRef>
          </c:val>
          <c:extLst>
            <c:ext xmlns:c16="http://schemas.microsoft.com/office/drawing/2014/chart" uri="{C3380CC4-5D6E-409C-BE32-E72D297353CC}">
              <c16:uniqueId val="{00000006-FC2F-43F7-A5CA-92C25E94E3F3}"/>
            </c:ext>
          </c:extLst>
        </c:ser>
        <c:ser>
          <c:idx val="7"/>
          <c:order val="7"/>
          <c:tx>
            <c:strRef>
              <c:f>'Pivot Tables'!$I$5:$I$6</c:f>
              <c:strCache>
                <c:ptCount val="1"/>
                <c:pt idx="0">
                  <c:v>Washer</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Tables'!$I$7:$I$17</c:f>
              <c:numCache>
                <c:formatCode>General</c:formatCode>
                <c:ptCount val="10"/>
                <c:pt idx="0">
                  <c:v>16338</c:v>
                </c:pt>
                <c:pt idx="2">
                  <c:v>43568</c:v>
                </c:pt>
                <c:pt idx="7">
                  <c:v>24507</c:v>
                </c:pt>
              </c:numCache>
            </c:numRef>
          </c:val>
          <c:extLst>
            <c:ext xmlns:c16="http://schemas.microsoft.com/office/drawing/2014/chart" uri="{C3380CC4-5D6E-409C-BE32-E72D297353CC}">
              <c16:uniqueId val="{00000007-FC2F-43F7-A5CA-92C25E94E3F3}"/>
            </c:ext>
          </c:extLst>
        </c:ser>
        <c:ser>
          <c:idx val="8"/>
          <c:order val="8"/>
          <c:tx>
            <c:strRef>
              <c:f>'Pivot Tables'!$J$5:$J$6</c:f>
              <c:strCache>
                <c:ptCount val="1"/>
                <c:pt idx="0">
                  <c:v>(blank)</c:v>
                </c:pt>
              </c:strCache>
            </c:strRef>
          </c:tx>
          <c:invertIfNegative val="0"/>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Tables'!$J$7:$J$17</c:f>
              <c:numCache>
                <c:formatCode>General</c:formatCode>
                <c:ptCount val="10"/>
              </c:numCache>
            </c:numRef>
          </c:val>
          <c:extLst>
            <c:ext xmlns:c16="http://schemas.microsoft.com/office/drawing/2014/chart" uri="{C3380CC4-5D6E-409C-BE32-E72D297353CC}">
              <c16:uniqueId val="{00000008-FC2F-43F7-A5CA-92C25E94E3F3}"/>
            </c:ext>
          </c:extLst>
        </c:ser>
        <c:dLbls>
          <c:showLegendKey val="0"/>
          <c:showVal val="0"/>
          <c:showCatName val="0"/>
          <c:showSerName val="0"/>
          <c:showPercent val="0"/>
          <c:showBubbleSize val="0"/>
        </c:dLbls>
        <c:gapWidth val="150"/>
        <c:axId val="141520256"/>
        <c:axId val="141526528"/>
      </c:barChart>
      <c:catAx>
        <c:axId val="141520256"/>
        <c:scaling>
          <c:orientation val="minMax"/>
        </c:scaling>
        <c:delete val="0"/>
        <c:axPos val="b"/>
        <c:numFmt formatCode="General" sourceLinked="0"/>
        <c:majorTickMark val="out"/>
        <c:minorTickMark val="none"/>
        <c:tickLblPos val="nextTo"/>
        <c:crossAx val="141526528"/>
        <c:crosses val="autoZero"/>
        <c:auto val="1"/>
        <c:lblAlgn val="ctr"/>
        <c:lblOffset val="100"/>
        <c:noMultiLvlLbl val="0"/>
      </c:catAx>
      <c:valAx>
        <c:axId val="141526528"/>
        <c:scaling>
          <c:orientation val="minMax"/>
        </c:scaling>
        <c:delete val="0"/>
        <c:axPos val="l"/>
        <c:majorGridlines/>
        <c:numFmt formatCode="General" sourceLinked="1"/>
        <c:majorTickMark val="out"/>
        <c:minorTickMark val="none"/>
        <c:tickLblPos val="nextTo"/>
        <c:crossAx val="1415202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266700</xdr:colOff>
      <xdr:row>19</xdr:row>
      <xdr:rowOff>180975</xdr:rowOff>
    </xdr:from>
    <xdr:to>
      <xdr:col>14</xdr:col>
      <xdr:colOff>533400</xdr:colOff>
      <xdr:row>37</xdr:row>
      <xdr:rowOff>171450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38099</xdr:colOff>
      <xdr:row>4</xdr:row>
      <xdr:rowOff>180975</xdr:rowOff>
    </xdr:from>
    <xdr:to>
      <xdr:col>28</xdr:col>
      <xdr:colOff>247650</xdr:colOff>
      <xdr:row>37</xdr:row>
      <xdr:rowOff>114300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47625</xdr:colOff>
      <xdr:row>4</xdr:row>
      <xdr:rowOff>180975</xdr:rowOff>
    </xdr:from>
    <xdr:to>
      <xdr:col>7</xdr:col>
      <xdr:colOff>47625</xdr:colOff>
      <xdr:row>18</xdr:row>
      <xdr:rowOff>38100</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486025" y="942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18</xdr:row>
      <xdr:rowOff>38100</xdr:rowOff>
    </xdr:from>
    <xdr:to>
      <xdr:col>7</xdr:col>
      <xdr:colOff>38100</xdr:colOff>
      <xdr:row>31</xdr:row>
      <xdr:rowOff>85725</xdr:rowOff>
    </xdr:to>
    <mc:AlternateContent xmlns:mc="http://schemas.openxmlformats.org/markup-compatibility/2006" xmlns:a14="http://schemas.microsoft.com/office/drawing/2010/main">
      <mc:Choice Requires="a14">
        <xdr:graphicFrame macro="">
          <xdr:nvGraphicFramePr>
            <xdr:cNvPr id="5" name="Label">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Label"/>
            </a:graphicData>
          </a:graphic>
        </xdr:graphicFrame>
      </mc:Choice>
      <mc:Fallback xmlns="">
        <xdr:sp macro="" textlink="">
          <xdr:nvSpPr>
            <xdr:cNvPr id="0" name=""/>
            <xdr:cNvSpPr>
              <a:spLocks noTextEdit="1"/>
            </xdr:cNvSpPr>
          </xdr:nvSpPr>
          <xdr:spPr>
            <a:xfrm>
              <a:off x="2476500" y="346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Klett" refreshedDate="46151.745774189818" createdVersion="4" refreshedVersion="8" minRefreshableVersion="3" recordCount="32" xr:uid="{00000000-000A-0000-FFFF-FFFF21000000}">
  <cacheSource type="worksheet">
    <worksheetSource ref="A1:J1048576" sheet="Data Sheet"/>
  </cacheSource>
  <cacheFields count="10">
    <cacheField name="Month" numFmtId="0">
      <sharedItems containsString="0" containsBlank="1" containsNumber="1" containsInteger="1" minValue="1" maxValue="2"/>
    </cacheField>
    <cacheField name="Year" numFmtId="0">
      <sharedItems containsString="0" containsBlank="1" containsNumber="1" containsInteger="1" minValue="2024" maxValue="2024"/>
    </cacheField>
    <cacheField name="HFI #" numFmtId="0">
      <sharedItems containsString="0" containsBlank="1" containsNumber="1" containsInteger="1" minValue="10" maxValue="2023" count="33">
        <n v="23"/>
        <n v="24"/>
        <n v="25"/>
        <n v="26"/>
        <n v="27"/>
        <n v="28"/>
        <n v="29"/>
        <n v="30"/>
        <n v="31"/>
        <n v="32"/>
        <n v="33"/>
        <n v="34"/>
        <n v="35"/>
        <n v="36"/>
        <n v="12"/>
        <n v="37"/>
        <n v="38"/>
        <n v="39"/>
        <n v="40"/>
        <n v="41"/>
        <n v="42"/>
        <n v="43"/>
        <n v="44"/>
        <n v="45"/>
        <n v="46"/>
        <n v="47"/>
        <n v="48"/>
        <n v="49"/>
        <n v="10"/>
        <n v="11"/>
        <n v="14"/>
        <m/>
        <n v="2023" u="1"/>
      </sharedItems>
    </cacheField>
    <cacheField name="Label" numFmtId="0">
      <sharedItems containsBlank="1" count="10">
        <s v="Citizen Cider &quot;The Dirty Mayor&quot;"/>
        <s v="Citizen Cider Unified Press"/>
        <m/>
        <s v="Brites"/>
        <s v="Mackinnon Brothers Red Fox Ale"/>
        <s v="Crosscut"/>
        <s v="Crafty Radler"/>
        <s v="Vaulted Blue IPA"/>
        <s v="Original Sin White Widow"/>
        <s v="Castle Island Keeper"/>
      </sharedItems>
    </cacheField>
    <cacheField name="Shift" numFmtId="0">
      <sharedItems containsBlank="1"/>
    </cacheField>
    <cacheField name="Unit Quantity" numFmtId="0">
      <sharedItems containsString="0" containsBlank="1" containsNumber="1" containsInteger="1" minValue="4668" maxValue="43568"/>
    </cacheField>
    <cacheField name="Level 1 Error" numFmtId="0">
      <sharedItems containsBlank="1" count="9">
        <s v="Inside Spray"/>
        <s v="Washer"/>
        <s v="Decorator"/>
        <m/>
        <s v="Conveyer"/>
        <s v="Multiple"/>
        <s v="Palletizer"/>
        <s v="Necker"/>
        <s v="Bodymaker"/>
      </sharedItems>
    </cacheField>
    <cacheField name="Level 2 Error" numFmtId="0">
      <sharedItems containsBlank="1"/>
    </cacheField>
    <cacheField name="Date" numFmtId="0">
      <sharedItems containsNonDate="0" containsDate="1" containsString="0" containsBlank="1" minDate="2023-01-08T00:00:00" maxDate="2024-02-15T00:00:00" count="24">
        <d v="2024-01-09T00:00:00"/>
        <d v="2024-01-11T00:00:00"/>
        <d v="2024-01-12T00:00:00"/>
        <m/>
        <d v="2024-01-15T00:00:00"/>
        <d v="2024-01-16T00:00:00"/>
        <d v="2024-01-18T00:00:00"/>
        <d v="2024-01-26T00:00:00"/>
        <d v="2024-01-27T00:00:00"/>
        <d v="2024-01-30T00:00:00"/>
        <d v="2024-01-08T00:00:00"/>
        <d v="2024-02-01T00:00:00"/>
        <d v="2024-02-02T00:00:00"/>
        <d v="2024-02-03T00:00:00"/>
        <d v="2024-02-04T00:00:00"/>
        <d v="2024-02-05T00:00:00"/>
        <d v="2024-02-09T00:00:00"/>
        <d v="2024-02-11T00:00:00"/>
        <d v="2024-02-14T00:00:00"/>
        <d v="2024-01-19T00:00:00"/>
        <d v="2023-12-08T00:00:00" u="1"/>
        <d v="2023-12-19T00:00:00" u="1"/>
        <d v="2023-01-12T00:00:00" u="1"/>
        <d v="2023-01-08T00:00:00" u="1"/>
      </sharedItems>
    </cacheField>
    <cacheField name="Disposition?"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
    <n v="2024"/>
    <x v="0"/>
    <x v="0"/>
    <s v="A"/>
    <n v="31120"/>
    <x v="0"/>
    <s v="Gun #7"/>
    <x v="0"/>
    <s v="Sort"/>
  </r>
  <r>
    <n v="1"/>
    <n v="2024"/>
    <x v="1"/>
    <x v="0"/>
    <s v="C"/>
    <n v="43568"/>
    <x v="1"/>
    <s v="Dome"/>
    <x v="1"/>
    <m/>
  </r>
  <r>
    <n v="1"/>
    <n v="2024"/>
    <x v="2"/>
    <x v="1"/>
    <s v="D"/>
    <n v="8169"/>
    <x v="2"/>
    <s v="Printer 2"/>
    <x v="2"/>
    <s v="Sort"/>
  </r>
  <r>
    <n v="1"/>
    <n v="2024"/>
    <x v="3"/>
    <x v="2"/>
    <m/>
    <m/>
    <x v="3"/>
    <m/>
    <x v="3"/>
    <m/>
  </r>
  <r>
    <n v="1"/>
    <n v="2024"/>
    <x v="4"/>
    <x v="1"/>
    <s v="C"/>
    <n v="5446"/>
    <x v="4"/>
    <s v="Conveyer"/>
    <x v="2"/>
    <s v="Sort"/>
  </r>
  <r>
    <n v="1"/>
    <n v="2024"/>
    <x v="5"/>
    <x v="3"/>
    <s v="A"/>
    <n v="6224"/>
    <x v="0"/>
    <s v="Gun #7"/>
    <x v="4"/>
    <s v="Sort"/>
  </r>
  <r>
    <n v="1"/>
    <n v="2024"/>
    <x v="6"/>
    <x v="3"/>
    <s v="D"/>
    <n v="11281"/>
    <x v="0"/>
    <s v="Gun #8"/>
    <x v="5"/>
    <s v="Sort"/>
  </r>
  <r>
    <n v="1"/>
    <n v="2024"/>
    <x v="7"/>
    <x v="4"/>
    <s v="D"/>
    <n v="20617"/>
    <x v="2"/>
    <s v="Printer 2"/>
    <x v="6"/>
    <s v="Crush"/>
  </r>
  <r>
    <n v="1"/>
    <n v="2024"/>
    <x v="8"/>
    <x v="4"/>
    <s v="A"/>
    <n v="12448"/>
    <x v="2"/>
    <s v="Printer 2"/>
    <x v="6"/>
    <m/>
  </r>
  <r>
    <n v="1"/>
    <n v="2024"/>
    <x v="9"/>
    <x v="3"/>
    <s v="C"/>
    <n v="8169"/>
    <x v="5"/>
    <s v="Multiple"/>
    <x v="7"/>
    <s v="Scrap"/>
  </r>
  <r>
    <n v="1"/>
    <n v="2024"/>
    <x v="10"/>
    <x v="3"/>
    <s v="D"/>
    <n v="8169"/>
    <x v="6"/>
    <s v="Uneven"/>
    <x v="8"/>
    <s v="Fix"/>
  </r>
  <r>
    <n v="1"/>
    <n v="2024"/>
    <x v="11"/>
    <x v="3"/>
    <s v="C"/>
    <n v="16338"/>
    <x v="4"/>
    <s v="Line Control"/>
    <x v="9"/>
    <s v="Reface"/>
  </r>
  <r>
    <n v="1"/>
    <n v="2024"/>
    <x v="12"/>
    <x v="3"/>
    <s v="D"/>
    <n v="8169"/>
    <x v="1"/>
    <s v="Belt"/>
    <x v="9"/>
    <s v="Released"/>
  </r>
  <r>
    <n v="1"/>
    <n v="2024"/>
    <x v="13"/>
    <x v="5"/>
    <s v="C"/>
    <n v="8169"/>
    <x v="2"/>
    <s v="Printer 2"/>
    <x v="9"/>
    <s v="Sort"/>
  </r>
  <r>
    <n v="1"/>
    <n v="2024"/>
    <x v="14"/>
    <x v="6"/>
    <s v="A"/>
    <n v="4668"/>
    <x v="7"/>
    <s v="Camera"/>
    <x v="10"/>
    <s v="Sort"/>
  </r>
  <r>
    <n v="2"/>
    <n v="2024"/>
    <x v="15"/>
    <x v="5"/>
    <s v="C"/>
    <n v="6224"/>
    <x v="2"/>
    <s v="Printer 2"/>
    <x v="11"/>
    <s v="Crush"/>
  </r>
  <r>
    <n v="2"/>
    <n v="2024"/>
    <x v="16"/>
    <x v="3"/>
    <s v="B"/>
    <n v="24507"/>
    <x v="6"/>
    <s v="Plunger"/>
    <x v="12"/>
    <m/>
  </r>
  <r>
    <n v="2"/>
    <n v="2024"/>
    <x v="17"/>
    <x v="3"/>
    <s v="A"/>
    <n v="16338"/>
    <x v="8"/>
    <s v="#3"/>
    <x v="11"/>
    <m/>
  </r>
  <r>
    <n v="2"/>
    <n v="2024"/>
    <x v="18"/>
    <x v="3"/>
    <s v="A"/>
    <n v="40845"/>
    <x v="7"/>
    <s v="Camera"/>
    <x v="12"/>
    <m/>
  </r>
  <r>
    <n v="2"/>
    <n v="2024"/>
    <x v="19"/>
    <x v="3"/>
    <s v="B"/>
    <n v="40845"/>
    <x v="7"/>
    <s v="Infeed"/>
    <x v="13"/>
    <m/>
  </r>
  <r>
    <n v="2"/>
    <n v="2024"/>
    <x v="20"/>
    <x v="6"/>
    <s v="C"/>
    <n v="24507"/>
    <x v="0"/>
    <s v="Gun # 6"/>
    <x v="13"/>
    <m/>
  </r>
  <r>
    <n v="2"/>
    <n v="2024"/>
    <x v="21"/>
    <x v="6"/>
    <s v="D"/>
    <n v="8169"/>
    <x v="0"/>
    <s v="Gun # 6"/>
    <x v="14"/>
    <m/>
  </r>
  <r>
    <n v="2"/>
    <n v="2024"/>
    <x v="22"/>
    <x v="6"/>
    <s v="C"/>
    <n v="12059"/>
    <x v="2"/>
    <s v="Printer 2"/>
    <x v="15"/>
    <m/>
  </r>
  <r>
    <n v="2"/>
    <n v="2024"/>
    <x v="23"/>
    <x v="3"/>
    <s v="C"/>
    <n v="21395"/>
    <x v="8"/>
    <s v="#1"/>
    <x v="15"/>
    <m/>
  </r>
  <r>
    <n v="2"/>
    <n v="2024"/>
    <x v="24"/>
    <x v="7"/>
    <s v="B"/>
    <n v="9725"/>
    <x v="2"/>
    <s v="Printer 2"/>
    <x v="16"/>
    <m/>
  </r>
  <r>
    <n v="2"/>
    <n v="2024"/>
    <x v="25"/>
    <x v="3"/>
    <s v="C"/>
    <n v="8169"/>
    <x v="1"/>
    <s v="Contamination"/>
    <x v="16"/>
    <s v="Crush"/>
  </r>
  <r>
    <n v="2"/>
    <n v="2024"/>
    <x v="26"/>
    <x v="3"/>
    <s v="C"/>
    <n v="8169"/>
    <x v="7"/>
    <s v="Batwings"/>
    <x v="17"/>
    <s v="Fill"/>
  </r>
  <r>
    <n v="2"/>
    <n v="2024"/>
    <x v="27"/>
    <x v="8"/>
    <s v="C"/>
    <n v="24507"/>
    <x v="1"/>
    <s v="Belt"/>
    <x v="18"/>
    <m/>
  </r>
  <r>
    <n v="1"/>
    <n v="2024"/>
    <x v="28"/>
    <x v="6"/>
    <s v="A"/>
    <n v="8169"/>
    <x v="5"/>
    <s v="Multiple"/>
    <x v="10"/>
    <s v="Sort"/>
  </r>
  <r>
    <n v="1"/>
    <n v="2024"/>
    <x v="29"/>
    <x v="6"/>
    <s v="A"/>
    <n v="8169"/>
    <x v="7"/>
    <s v="Camera"/>
    <x v="10"/>
    <s v="Sort"/>
  </r>
  <r>
    <n v="1"/>
    <n v="2024"/>
    <x v="30"/>
    <x v="9"/>
    <s v="C"/>
    <n v="12448"/>
    <x v="0"/>
    <s v="Gun # 5"/>
    <x v="19"/>
    <s v="Sort"/>
  </r>
  <r>
    <m/>
    <m/>
    <x v="31"/>
    <x v="2"/>
    <m/>
    <m/>
    <x v="3"/>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location ref="A32:B43" firstHeaderRow="1" firstDataRow="1" firstDataCol="1" rowPageCount="2" colPageCount="1"/>
  <pivotFields count="10">
    <pivotField showAll="0"/>
    <pivotField showAll="0"/>
    <pivotField axis="axisPage" showAll="0">
      <items count="34">
        <item x="28"/>
        <item x="29"/>
        <item x="14"/>
        <item x="30"/>
        <item x="0"/>
        <item x="1"/>
        <item x="2"/>
        <item x="3"/>
        <item x="4"/>
        <item x="5"/>
        <item x="6"/>
        <item x="7"/>
        <item x="8"/>
        <item x="9"/>
        <item x="10"/>
        <item x="11"/>
        <item x="12"/>
        <item x="13"/>
        <item x="15"/>
        <item x="16"/>
        <item x="17"/>
        <item x="18"/>
        <item x="19"/>
        <item x="20"/>
        <item x="21"/>
        <item x="22"/>
        <item x="23"/>
        <item x="24"/>
        <item x="25"/>
        <item x="26"/>
        <item x="27"/>
        <item m="1" x="32"/>
        <item x="31"/>
        <item t="default"/>
      </items>
    </pivotField>
    <pivotField axis="axisRow" showAll="0">
      <items count="11">
        <item x="3"/>
        <item x="9"/>
        <item x="0"/>
        <item x="1"/>
        <item x="6"/>
        <item x="5"/>
        <item x="4"/>
        <item x="8"/>
        <item x="7"/>
        <item x="2"/>
        <item t="default"/>
      </items>
    </pivotField>
    <pivotField showAll="0"/>
    <pivotField dataField="1" showAll="0"/>
    <pivotField showAll="0"/>
    <pivotField showAll="0"/>
    <pivotField axis="axisPage" showAll="0">
      <items count="25">
        <item m="1" x="23"/>
        <item m="1" x="22"/>
        <item m="1" x="20"/>
        <item m="1" x="21"/>
        <item x="10"/>
        <item x="0"/>
        <item x="1"/>
        <item x="2"/>
        <item x="4"/>
        <item x="5"/>
        <item x="6"/>
        <item x="7"/>
        <item x="8"/>
        <item x="9"/>
        <item x="11"/>
        <item x="12"/>
        <item x="13"/>
        <item x="14"/>
        <item x="15"/>
        <item x="16"/>
        <item x="17"/>
        <item x="18"/>
        <item x="3"/>
        <item x="19"/>
        <item t="default"/>
      </items>
    </pivotField>
    <pivotField showAll="0"/>
  </pivotFields>
  <rowFields count="1">
    <field x="3"/>
  </rowFields>
  <rowItems count="11">
    <i>
      <x/>
    </i>
    <i>
      <x v="1"/>
    </i>
    <i>
      <x v="2"/>
    </i>
    <i>
      <x v="3"/>
    </i>
    <i>
      <x v="4"/>
    </i>
    <i>
      <x v="5"/>
    </i>
    <i>
      <x v="6"/>
    </i>
    <i>
      <x v="7"/>
    </i>
    <i>
      <x v="8"/>
    </i>
    <i>
      <x v="9"/>
    </i>
    <i t="grand">
      <x/>
    </i>
  </rowItems>
  <colItems count="1">
    <i/>
  </colItems>
  <pageFields count="2">
    <pageField fld="2" hier="-1"/>
    <pageField fld="8" hier="-1"/>
  </pageFields>
  <dataFields count="1">
    <dataField name="Sum of Unit Quantity" fld="5"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5:K17" firstHeaderRow="1" firstDataRow="2" firstDataCol="1" rowPageCount="2" colPageCount="1"/>
  <pivotFields count="10">
    <pivotField showAll="0"/>
    <pivotField showAll="0"/>
    <pivotField axis="axisPage" showAll="0">
      <items count="34">
        <item x="28"/>
        <item x="29"/>
        <item x="14"/>
        <item x="30"/>
        <item x="0"/>
        <item x="1"/>
        <item x="2"/>
        <item x="3"/>
        <item x="4"/>
        <item x="5"/>
        <item x="6"/>
        <item x="7"/>
        <item x="8"/>
        <item x="9"/>
        <item x="10"/>
        <item x="11"/>
        <item x="12"/>
        <item x="13"/>
        <item x="15"/>
        <item x="16"/>
        <item x="17"/>
        <item x="18"/>
        <item x="19"/>
        <item x="20"/>
        <item x="21"/>
        <item x="22"/>
        <item x="23"/>
        <item x="24"/>
        <item x="25"/>
        <item x="26"/>
        <item x="27"/>
        <item m="1" x="32"/>
        <item x="31"/>
        <item t="default"/>
      </items>
    </pivotField>
    <pivotField axis="axisRow" showAll="0">
      <items count="11">
        <item x="3"/>
        <item x="9"/>
        <item x="0"/>
        <item x="1"/>
        <item x="6"/>
        <item x="5"/>
        <item x="4"/>
        <item x="8"/>
        <item x="7"/>
        <item x="2"/>
        <item t="default"/>
      </items>
    </pivotField>
    <pivotField showAll="0"/>
    <pivotField dataField="1" showAll="0"/>
    <pivotField axis="axisCol" showAll="0">
      <items count="10">
        <item x="8"/>
        <item x="4"/>
        <item x="2"/>
        <item x="0"/>
        <item x="5"/>
        <item x="7"/>
        <item x="6"/>
        <item x="1"/>
        <item x="3"/>
        <item t="default"/>
      </items>
    </pivotField>
    <pivotField showAll="0"/>
    <pivotField axis="axisPage" showAll="0">
      <items count="25">
        <item m="1" x="23"/>
        <item m="1" x="22"/>
        <item m="1" x="20"/>
        <item m="1" x="21"/>
        <item x="0"/>
        <item x="1"/>
        <item x="4"/>
        <item x="5"/>
        <item x="6"/>
        <item x="7"/>
        <item x="8"/>
        <item x="9"/>
        <item x="11"/>
        <item x="12"/>
        <item x="13"/>
        <item x="14"/>
        <item x="15"/>
        <item x="16"/>
        <item x="17"/>
        <item x="18"/>
        <item x="3"/>
        <item x="2"/>
        <item x="10"/>
        <item x="19"/>
        <item t="default"/>
      </items>
    </pivotField>
    <pivotField showAll="0"/>
  </pivotFields>
  <rowFields count="1">
    <field x="3"/>
  </rowFields>
  <rowItems count="11">
    <i>
      <x/>
    </i>
    <i>
      <x v="1"/>
    </i>
    <i>
      <x v="2"/>
    </i>
    <i>
      <x v="3"/>
    </i>
    <i>
      <x v="4"/>
    </i>
    <i>
      <x v="5"/>
    </i>
    <i>
      <x v="6"/>
    </i>
    <i>
      <x v="7"/>
    </i>
    <i>
      <x v="8"/>
    </i>
    <i>
      <x v="9"/>
    </i>
    <i t="grand">
      <x/>
    </i>
  </rowItems>
  <colFields count="1">
    <field x="6"/>
  </colFields>
  <colItems count="10">
    <i>
      <x/>
    </i>
    <i>
      <x v="1"/>
    </i>
    <i>
      <x v="2"/>
    </i>
    <i>
      <x v="3"/>
    </i>
    <i>
      <x v="4"/>
    </i>
    <i>
      <x v="5"/>
    </i>
    <i>
      <x v="6"/>
    </i>
    <i>
      <x v="7"/>
    </i>
    <i>
      <x v="8"/>
    </i>
    <i t="grand">
      <x/>
    </i>
  </colItems>
  <pageFields count="2">
    <pageField fld="2" hier="-1"/>
    <pageField fld="8" hier="-1"/>
  </pageFields>
  <dataFields count="1">
    <dataField name="Sum of Unit Quantity" fld="5" baseField="3" baseItem="0"/>
  </dataFields>
  <chartFormats count="9">
    <chartFormat chart="3" format="18" series="1">
      <pivotArea type="data" outline="0" fieldPosition="0">
        <references count="2">
          <reference field="4294967294" count="1" selected="0">
            <x v="0"/>
          </reference>
          <reference field="6" count="1" selected="0">
            <x v="0"/>
          </reference>
        </references>
      </pivotArea>
    </chartFormat>
    <chartFormat chart="3" format="19" series="1">
      <pivotArea type="data" outline="0" fieldPosition="0">
        <references count="2">
          <reference field="4294967294" count="1" selected="0">
            <x v="0"/>
          </reference>
          <reference field="6" count="1" selected="0">
            <x v="1"/>
          </reference>
        </references>
      </pivotArea>
    </chartFormat>
    <chartFormat chart="3" format="20" series="1">
      <pivotArea type="data" outline="0" fieldPosition="0">
        <references count="2">
          <reference field="4294967294" count="1" selected="0">
            <x v="0"/>
          </reference>
          <reference field="6" count="1" selected="0">
            <x v="2"/>
          </reference>
        </references>
      </pivotArea>
    </chartFormat>
    <chartFormat chart="3" format="21" series="1">
      <pivotArea type="data" outline="0" fieldPosition="0">
        <references count="2">
          <reference field="4294967294" count="1" selected="0">
            <x v="0"/>
          </reference>
          <reference field="6" count="1" selected="0">
            <x v="3"/>
          </reference>
        </references>
      </pivotArea>
    </chartFormat>
    <chartFormat chart="3" format="22" series="1">
      <pivotArea type="data" outline="0" fieldPosition="0">
        <references count="2">
          <reference field="4294967294" count="1" selected="0">
            <x v="0"/>
          </reference>
          <reference field="6" count="1" selected="0">
            <x v="4"/>
          </reference>
        </references>
      </pivotArea>
    </chartFormat>
    <chartFormat chart="3" format="23" series="1">
      <pivotArea type="data" outline="0" fieldPosition="0">
        <references count="2">
          <reference field="4294967294" count="1" selected="0">
            <x v="0"/>
          </reference>
          <reference field="6" count="1" selected="0">
            <x v="5"/>
          </reference>
        </references>
      </pivotArea>
    </chartFormat>
    <chartFormat chart="3" format="24" series="1">
      <pivotArea type="data" outline="0" fieldPosition="0">
        <references count="2">
          <reference field="4294967294" count="1" selected="0">
            <x v="0"/>
          </reference>
          <reference field="6" count="1" selected="0">
            <x v="6"/>
          </reference>
        </references>
      </pivotArea>
    </chartFormat>
    <chartFormat chart="3" format="25" series="1">
      <pivotArea type="data" outline="0" fieldPosition="0">
        <references count="2">
          <reference field="4294967294" count="1" selected="0">
            <x v="0"/>
          </reference>
          <reference field="6" count="1" selected="0">
            <x v="7"/>
          </reference>
        </references>
      </pivotArea>
    </chartFormat>
    <chartFormat chart="3" format="26" series="1">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4" name="PivotTable1"/>
  </pivotTables>
  <data>
    <tabular pivotCacheId="1">
      <items count="24">
        <i x="10" s="1"/>
        <i x="0" s="1"/>
        <i x="1" s="1"/>
        <i x="2" s="1"/>
        <i x="4" s="1"/>
        <i x="5" s="1"/>
        <i x="6" s="1"/>
        <i x="19" s="1"/>
        <i x="7" s="1"/>
        <i x="8" s="1"/>
        <i x="9" s="1"/>
        <i x="11" s="1"/>
        <i x="12" s="1"/>
        <i x="13" s="1"/>
        <i x="14" s="1"/>
        <i x="15" s="1"/>
        <i x="16" s="1"/>
        <i x="17" s="1"/>
        <i x="18" s="1"/>
        <i x="23" s="1" nd="1"/>
        <i x="22" s="1" nd="1"/>
        <i x="20" s="1" nd="1"/>
        <i x="21"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el" xr10:uid="{00000000-0013-0000-FFFF-FFFF02000000}" sourceName="Label">
  <pivotTables>
    <pivotTable tabId="4" name="PivotTable1"/>
  </pivotTables>
  <data>
    <tabular pivotCacheId="1">
      <items count="10">
        <i x="3" s="1"/>
        <i x="9" s="1"/>
        <i x="0" s="1"/>
        <i x="1" s="1"/>
        <i x="6" s="1"/>
        <i x="5" s="1"/>
        <i x="4" s="1"/>
        <i x="8" s="1"/>
        <i x="7"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000000-0014-0000-FFFF-FFFF01000000}" cache="Slicer_Date" caption="Date" rowHeight="241300"/>
  <slicer name="Label" xr10:uid="{00000000-0014-0000-FFFF-FFFF02000000}" cache="Slicer_Label" caption="Label"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tabSelected="1" workbookViewId="0">
      <selection activeCell="J5" sqref="J5"/>
    </sheetView>
  </sheetViews>
  <sheetFormatPr defaultRowHeight="15" x14ac:dyDescent="0.25"/>
  <cols>
    <col min="1" max="3" width="9.140625" style="1"/>
    <col min="5" max="6" width="9.140625" style="1"/>
    <col min="7" max="7" width="11.42578125" style="1" customWidth="1"/>
    <col min="8" max="8" width="15" style="1" customWidth="1"/>
    <col min="9" max="10" width="12.28515625" style="1" customWidth="1"/>
    <col min="11" max="11" width="29.5703125" style="1" customWidth="1"/>
    <col min="12" max="16384" width="9.140625" style="1"/>
  </cols>
  <sheetData>
    <row r="1" spans="1:11" ht="30" x14ac:dyDescent="0.25">
      <c r="A1" s="1" t="s">
        <v>1</v>
      </c>
      <c r="B1" s="1" t="s">
        <v>2</v>
      </c>
      <c r="C1" s="1" t="s">
        <v>0</v>
      </c>
      <c r="E1" s="1" t="s">
        <v>6</v>
      </c>
      <c r="F1" s="1" t="s">
        <v>3</v>
      </c>
      <c r="G1" s="1" t="s">
        <v>4</v>
      </c>
      <c r="H1" s="1" t="s">
        <v>5</v>
      </c>
      <c r="I1" s="1" t="s">
        <v>7</v>
      </c>
      <c r="J1" s="1" t="s">
        <v>59</v>
      </c>
      <c r="K1" s="1" t="s">
        <v>11</v>
      </c>
    </row>
    <row r="2" spans="1:11" x14ac:dyDescent="0.25">
      <c r="A2" s="1">
        <v>1</v>
      </c>
      <c r="B2" s="1">
        <v>2024</v>
      </c>
      <c r="C2" s="1">
        <v>12</v>
      </c>
      <c r="E2" s="1" t="s">
        <v>13</v>
      </c>
      <c r="F2">
        <v>4668</v>
      </c>
      <c r="G2" s="1" t="s">
        <v>16</v>
      </c>
      <c r="H2" s="1" t="s">
        <v>17</v>
      </c>
      <c r="I2" s="3">
        <v>45299</v>
      </c>
      <c r="J2" s="1" t="s">
        <v>35</v>
      </c>
      <c r="K2" s="1" t="s">
        <v>21</v>
      </c>
    </row>
    <row r="3" spans="1:11" x14ac:dyDescent="0.25">
      <c r="A3" s="1">
        <v>1</v>
      </c>
      <c r="B3" s="1">
        <v>2024</v>
      </c>
      <c r="C3" s="1">
        <v>10</v>
      </c>
      <c r="E3" s="1" t="s">
        <v>13</v>
      </c>
      <c r="F3" s="1">
        <v>8169</v>
      </c>
      <c r="G3" s="1" t="s">
        <v>41</v>
      </c>
      <c r="H3" s="1" t="s">
        <v>41</v>
      </c>
      <c r="I3" s="3">
        <v>45299</v>
      </c>
      <c r="J3" s="1" t="s">
        <v>35</v>
      </c>
      <c r="K3" s="1" t="s">
        <v>21</v>
      </c>
    </row>
    <row r="4" spans="1:11" x14ac:dyDescent="0.25">
      <c r="A4" s="1">
        <v>1</v>
      </c>
      <c r="B4" s="1">
        <v>2024</v>
      </c>
      <c r="C4" s="1">
        <v>11</v>
      </c>
      <c r="E4" s="1" t="s">
        <v>13</v>
      </c>
      <c r="F4" s="1">
        <v>8169</v>
      </c>
      <c r="G4" s="1" t="s">
        <v>16</v>
      </c>
      <c r="H4" s="1" t="s">
        <v>17</v>
      </c>
      <c r="I4" s="3">
        <v>45299</v>
      </c>
      <c r="J4" s="1" t="s">
        <v>35</v>
      </c>
      <c r="K4" s="1" t="s">
        <v>21</v>
      </c>
    </row>
    <row r="5" spans="1:11" ht="30" x14ac:dyDescent="0.25">
      <c r="A5" s="1">
        <v>1</v>
      </c>
      <c r="B5" s="1">
        <v>2024</v>
      </c>
      <c r="C5" s="1">
        <v>23</v>
      </c>
      <c r="E5" s="1" t="s">
        <v>13</v>
      </c>
      <c r="F5">
        <v>31120</v>
      </c>
      <c r="G5" s="1" t="s">
        <v>19</v>
      </c>
      <c r="H5" s="1" t="s">
        <v>34</v>
      </c>
      <c r="I5" s="3">
        <v>45300</v>
      </c>
      <c r="J5" s="1" t="s">
        <v>35</v>
      </c>
      <c r="K5" s="1" t="s">
        <v>33</v>
      </c>
    </row>
    <row r="6" spans="1:11" x14ac:dyDescent="0.25">
      <c r="A6" s="1">
        <v>1</v>
      </c>
      <c r="B6" s="1">
        <v>2024</v>
      </c>
      <c r="C6">
        <v>24</v>
      </c>
      <c r="E6" s="1" t="s">
        <v>22</v>
      </c>
      <c r="F6">
        <v>43568</v>
      </c>
      <c r="G6" s="1" t="s">
        <v>28</v>
      </c>
      <c r="H6" s="1" t="s">
        <v>36</v>
      </c>
      <c r="I6" s="3">
        <v>45302</v>
      </c>
      <c r="K6" s="1" t="s">
        <v>33</v>
      </c>
    </row>
    <row r="7" spans="1:11" x14ac:dyDescent="0.25">
      <c r="A7" s="1">
        <v>1</v>
      </c>
      <c r="B7" s="1">
        <v>2024</v>
      </c>
      <c r="C7" s="1">
        <v>25</v>
      </c>
      <c r="E7" s="1" t="s">
        <v>23</v>
      </c>
      <c r="F7">
        <v>8169</v>
      </c>
      <c r="G7" t="s">
        <v>24</v>
      </c>
      <c r="H7" s="1" t="s">
        <v>25</v>
      </c>
      <c r="I7" s="3">
        <v>45303</v>
      </c>
      <c r="J7" s="1" t="s">
        <v>35</v>
      </c>
      <c r="K7" t="s">
        <v>37</v>
      </c>
    </row>
    <row r="8" spans="1:11" x14ac:dyDescent="0.25">
      <c r="A8" s="1">
        <v>1</v>
      </c>
      <c r="B8" s="1">
        <v>2024</v>
      </c>
      <c r="C8" s="1">
        <v>27</v>
      </c>
      <c r="E8" s="1" t="s">
        <v>22</v>
      </c>
      <c r="F8">
        <v>5446</v>
      </c>
      <c r="G8" s="1" t="s">
        <v>38</v>
      </c>
      <c r="H8" s="1" t="s">
        <v>38</v>
      </c>
      <c r="I8" s="2">
        <v>45303</v>
      </c>
      <c r="J8" s="1" t="s">
        <v>35</v>
      </c>
      <c r="K8" t="s">
        <v>37</v>
      </c>
    </row>
    <row r="9" spans="1:11" ht="30" x14ac:dyDescent="0.25">
      <c r="A9" s="1">
        <v>1</v>
      </c>
      <c r="B9" s="1">
        <v>2024</v>
      </c>
      <c r="C9" s="1">
        <v>28</v>
      </c>
      <c r="E9" s="1" t="s">
        <v>13</v>
      </c>
      <c r="F9">
        <v>6224</v>
      </c>
      <c r="G9" s="1" t="s">
        <v>19</v>
      </c>
      <c r="H9" s="1" t="s">
        <v>34</v>
      </c>
      <c r="I9" s="3">
        <v>45306</v>
      </c>
      <c r="J9" s="1" t="s">
        <v>35</v>
      </c>
      <c r="K9" s="4" t="s">
        <v>12</v>
      </c>
    </row>
    <row r="10" spans="1:11" ht="30" x14ac:dyDescent="0.25">
      <c r="A10" s="1">
        <v>1</v>
      </c>
      <c r="B10" s="1">
        <v>2024</v>
      </c>
      <c r="C10" s="1">
        <v>29</v>
      </c>
      <c r="E10" s="1" t="s">
        <v>23</v>
      </c>
      <c r="F10">
        <v>11281</v>
      </c>
      <c r="G10" s="1" t="s">
        <v>19</v>
      </c>
      <c r="H10" s="1" t="s">
        <v>39</v>
      </c>
      <c r="I10" s="3">
        <v>45307</v>
      </c>
      <c r="J10" s="1" t="s">
        <v>35</v>
      </c>
      <c r="K10" s="4" t="s">
        <v>12</v>
      </c>
    </row>
    <row r="11" spans="1:11" x14ac:dyDescent="0.25">
      <c r="A11" s="1">
        <v>1</v>
      </c>
      <c r="B11" s="1">
        <v>2024</v>
      </c>
      <c r="C11" s="1">
        <v>30</v>
      </c>
      <c r="E11" s="1" t="s">
        <v>23</v>
      </c>
      <c r="F11">
        <v>20617</v>
      </c>
      <c r="G11" s="1" t="s">
        <v>24</v>
      </c>
      <c r="H11" s="1" t="s">
        <v>25</v>
      </c>
      <c r="I11" s="3">
        <v>45309</v>
      </c>
      <c r="J11" s="1" t="s">
        <v>29</v>
      </c>
      <c r="K11" t="s">
        <v>40</v>
      </c>
    </row>
    <row r="12" spans="1:11" x14ac:dyDescent="0.25">
      <c r="A12" s="1">
        <v>1</v>
      </c>
      <c r="B12" s="1">
        <v>2024</v>
      </c>
      <c r="C12" s="1">
        <v>31</v>
      </c>
      <c r="E12" s="1" t="s">
        <v>13</v>
      </c>
      <c r="F12">
        <v>12448</v>
      </c>
      <c r="G12" s="1" t="s">
        <v>24</v>
      </c>
      <c r="H12" s="1" t="s">
        <v>25</v>
      </c>
      <c r="I12" s="3">
        <v>45309</v>
      </c>
      <c r="K12" t="s">
        <v>40</v>
      </c>
    </row>
    <row r="13" spans="1:11" ht="30" customHeight="1" x14ac:dyDescent="0.25">
      <c r="A13" s="1">
        <v>1</v>
      </c>
      <c r="B13" s="1">
        <v>2024</v>
      </c>
      <c r="C13" s="1">
        <v>14</v>
      </c>
      <c r="E13" s="1" t="s">
        <v>22</v>
      </c>
      <c r="F13">
        <v>12448</v>
      </c>
      <c r="G13" s="1" t="s">
        <v>19</v>
      </c>
      <c r="H13" s="1" t="s">
        <v>51</v>
      </c>
      <c r="I13" s="3">
        <v>45310</v>
      </c>
      <c r="J13" s="1" t="s">
        <v>35</v>
      </c>
      <c r="K13" t="s">
        <v>50</v>
      </c>
    </row>
    <row r="14" spans="1:11" x14ac:dyDescent="0.25">
      <c r="A14" s="1">
        <v>1</v>
      </c>
      <c r="B14" s="1">
        <v>2024</v>
      </c>
      <c r="C14" s="1">
        <v>32</v>
      </c>
      <c r="E14" s="1" t="s">
        <v>22</v>
      </c>
      <c r="F14">
        <v>8169</v>
      </c>
      <c r="G14" s="1" t="s">
        <v>41</v>
      </c>
      <c r="H14" s="1" t="s">
        <v>41</v>
      </c>
      <c r="I14" s="3">
        <v>45317</v>
      </c>
      <c r="J14" s="1" t="s">
        <v>42</v>
      </c>
      <c r="K14" s="1" t="s">
        <v>12</v>
      </c>
    </row>
    <row r="15" spans="1:11" x14ac:dyDescent="0.25">
      <c r="A15" s="1">
        <v>1</v>
      </c>
      <c r="B15" s="1">
        <v>2024</v>
      </c>
      <c r="C15" s="1">
        <v>33</v>
      </c>
      <c r="E15" s="1" t="s">
        <v>23</v>
      </c>
      <c r="F15">
        <v>8169</v>
      </c>
      <c r="G15" s="1" t="s">
        <v>9</v>
      </c>
      <c r="H15" s="1" t="s">
        <v>43</v>
      </c>
      <c r="I15" s="3">
        <v>45318</v>
      </c>
      <c r="J15" s="1" t="s">
        <v>44</v>
      </c>
      <c r="K15" s="1" t="s">
        <v>12</v>
      </c>
    </row>
    <row r="16" spans="1:11" x14ac:dyDescent="0.25">
      <c r="A16" s="1">
        <v>1</v>
      </c>
      <c r="B16" s="1">
        <v>2024</v>
      </c>
      <c r="C16" s="1">
        <v>34</v>
      </c>
      <c r="E16" s="1" t="s">
        <v>22</v>
      </c>
      <c r="F16">
        <v>16338</v>
      </c>
      <c r="G16" s="1" t="s">
        <v>38</v>
      </c>
      <c r="H16" s="1" t="s">
        <v>45</v>
      </c>
      <c r="I16" s="2">
        <v>45321</v>
      </c>
      <c r="J16" s="1" t="s">
        <v>46</v>
      </c>
      <c r="K16" t="s">
        <v>12</v>
      </c>
    </row>
    <row r="17" spans="1:11" x14ac:dyDescent="0.25">
      <c r="A17" s="1">
        <v>1</v>
      </c>
      <c r="B17" s="1">
        <v>2024</v>
      </c>
      <c r="C17" s="1">
        <v>35</v>
      </c>
      <c r="E17" s="1" t="s">
        <v>23</v>
      </c>
      <c r="F17">
        <v>8169</v>
      </c>
      <c r="G17" s="1" t="s">
        <v>28</v>
      </c>
      <c r="H17" s="1" t="s">
        <v>47</v>
      </c>
      <c r="I17" s="3">
        <v>45321</v>
      </c>
      <c r="J17" s="1" t="s">
        <v>48</v>
      </c>
      <c r="K17" s="1" t="s">
        <v>12</v>
      </c>
    </row>
    <row r="18" spans="1:11" x14ac:dyDescent="0.25">
      <c r="A18" s="1">
        <v>1</v>
      </c>
      <c r="B18" s="1">
        <v>2024</v>
      </c>
      <c r="C18" s="1">
        <v>36</v>
      </c>
      <c r="E18" s="1" t="s">
        <v>22</v>
      </c>
      <c r="F18">
        <v>8169</v>
      </c>
      <c r="G18" s="1" t="s">
        <v>24</v>
      </c>
      <c r="H18" s="1" t="s">
        <v>25</v>
      </c>
      <c r="I18" s="3">
        <v>45321</v>
      </c>
      <c r="J18" s="1" t="s">
        <v>35</v>
      </c>
      <c r="K18" t="s">
        <v>49</v>
      </c>
    </row>
    <row r="19" spans="1:11" x14ac:dyDescent="0.25">
      <c r="A19" s="1">
        <v>2</v>
      </c>
      <c r="B19" s="1">
        <v>2024</v>
      </c>
      <c r="C19" s="1">
        <v>37</v>
      </c>
      <c r="E19" s="1" t="s">
        <v>22</v>
      </c>
      <c r="F19">
        <v>6224</v>
      </c>
      <c r="G19" s="1" t="s">
        <v>24</v>
      </c>
      <c r="H19" s="1" t="s">
        <v>25</v>
      </c>
      <c r="I19" s="3">
        <v>45323</v>
      </c>
      <c r="J19" s="1" t="s">
        <v>29</v>
      </c>
      <c r="K19" t="s">
        <v>49</v>
      </c>
    </row>
    <row r="20" spans="1:11" x14ac:dyDescent="0.25">
      <c r="A20" s="1">
        <v>2</v>
      </c>
      <c r="B20" s="1">
        <v>2024</v>
      </c>
      <c r="C20" s="1">
        <v>39</v>
      </c>
      <c r="E20" s="1" t="s">
        <v>13</v>
      </c>
      <c r="F20" s="1">
        <v>16338</v>
      </c>
      <c r="G20" s="1" t="s">
        <v>14</v>
      </c>
      <c r="H20" s="1" t="s">
        <v>15</v>
      </c>
      <c r="I20" s="2">
        <v>45323</v>
      </c>
      <c r="K20" s="1" t="s">
        <v>12</v>
      </c>
    </row>
    <row r="21" spans="1:11" x14ac:dyDescent="0.25">
      <c r="A21" s="1">
        <v>2</v>
      </c>
      <c r="B21" s="1">
        <v>2024</v>
      </c>
      <c r="C21" s="1">
        <v>38</v>
      </c>
      <c r="E21" s="1" t="s">
        <v>8</v>
      </c>
      <c r="F21" s="1">
        <v>24507</v>
      </c>
      <c r="G21" s="1" t="s">
        <v>9</v>
      </c>
      <c r="H21" s="1" t="s">
        <v>10</v>
      </c>
      <c r="I21" s="2">
        <v>45324</v>
      </c>
      <c r="K21" s="1" t="s">
        <v>12</v>
      </c>
    </row>
    <row r="22" spans="1:11" x14ac:dyDescent="0.25">
      <c r="A22" s="1">
        <v>2</v>
      </c>
      <c r="B22" s="1">
        <v>2024</v>
      </c>
      <c r="C22" s="1">
        <v>40</v>
      </c>
      <c r="E22" s="1" t="s">
        <v>13</v>
      </c>
      <c r="F22" s="1">
        <v>40845</v>
      </c>
      <c r="G22" s="1" t="s">
        <v>16</v>
      </c>
      <c r="H22" s="1" t="s">
        <v>17</v>
      </c>
      <c r="I22" s="2">
        <v>45324</v>
      </c>
      <c r="K22" s="1" t="s">
        <v>12</v>
      </c>
    </row>
    <row r="23" spans="1:11" x14ac:dyDescent="0.25">
      <c r="A23" s="1">
        <v>2</v>
      </c>
      <c r="B23" s="1">
        <v>2024</v>
      </c>
      <c r="C23" s="1">
        <v>41</v>
      </c>
      <c r="E23" s="1" t="s">
        <v>8</v>
      </c>
      <c r="F23" s="1">
        <v>40845</v>
      </c>
      <c r="G23" s="1" t="s">
        <v>16</v>
      </c>
      <c r="H23" s="1" t="s">
        <v>18</v>
      </c>
      <c r="I23" s="2">
        <v>45325</v>
      </c>
      <c r="K23" s="1" t="s">
        <v>12</v>
      </c>
    </row>
    <row r="24" spans="1:11" ht="30" x14ac:dyDescent="0.25">
      <c r="A24" s="1">
        <v>2</v>
      </c>
      <c r="B24" s="1">
        <v>2024</v>
      </c>
      <c r="C24" s="1">
        <v>42</v>
      </c>
      <c r="E24" s="1" t="s">
        <v>22</v>
      </c>
      <c r="F24" s="1">
        <v>24507</v>
      </c>
      <c r="G24" s="1" t="s">
        <v>19</v>
      </c>
      <c r="H24" s="1" t="s">
        <v>20</v>
      </c>
      <c r="I24" s="2">
        <v>45325</v>
      </c>
      <c r="K24" s="1" t="s">
        <v>21</v>
      </c>
    </row>
    <row r="25" spans="1:11" ht="30" x14ac:dyDescent="0.25">
      <c r="A25" s="1">
        <v>2</v>
      </c>
      <c r="B25" s="1">
        <v>2024</v>
      </c>
      <c r="C25" s="1">
        <v>43</v>
      </c>
      <c r="E25" s="1" t="s">
        <v>23</v>
      </c>
      <c r="F25" s="1">
        <v>8169</v>
      </c>
      <c r="G25" s="1" t="s">
        <v>19</v>
      </c>
      <c r="H25" s="1" t="s">
        <v>20</v>
      </c>
      <c r="I25" s="2">
        <v>45326</v>
      </c>
      <c r="K25" s="1" t="s">
        <v>21</v>
      </c>
    </row>
    <row r="26" spans="1:11" x14ac:dyDescent="0.25">
      <c r="A26" s="1">
        <v>2</v>
      </c>
      <c r="B26" s="1">
        <v>2024</v>
      </c>
      <c r="C26" s="1">
        <v>44</v>
      </c>
      <c r="E26" s="1" t="s">
        <v>22</v>
      </c>
      <c r="F26" s="1">
        <v>12059</v>
      </c>
      <c r="G26" s="1" t="s">
        <v>24</v>
      </c>
      <c r="H26" s="1" t="s">
        <v>25</v>
      </c>
      <c r="I26" s="2">
        <v>45327</v>
      </c>
      <c r="K26" s="1" t="s">
        <v>21</v>
      </c>
    </row>
    <row r="27" spans="1:11" x14ac:dyDescent="0.25">
      <c r="A27" s="1">
        <v>2</v>
      </c>
      <c r="B27" s="1">
        <v>2024</v>
      </c>
      <c r="C27" s="1">
        <v>45</v>
      </c>
      <c r="E27" s="1" t="s">
        <v>22</v>
      </c>
      <c r="F27" s="1">
        <v>21395</v>
      </c>
      <c r="G27" s="1" t="s">
        <v>14</v>
      </c>
      <c r="H27" s="1" t="s">
        <v>26</v>
      </c>
      <c r="I27" s="2">
        <v>45327</v>
      </c>
      <c r="K27" s="1" t="s">
        <v>12</v>
      </c>
    </row>
    <row r="28" spans="1:11" x14ac:dyDescent="0.25">
      <c r="A28" s="1">
        <v>2</v>
      </c>
      <c r="B28" s="1">
        <v>2024</v>
      </c>
      <c r="C28" s="1">
        <v>46</v>
      </c>
      <c r="E28" s="1" t="s">
        <v>8</v>
      </c>
      <c r="F28" s="1">
        <v>9725</v>
      </c>
      <c r="G28" s="1" t="s">
        <v>24</v>
      </c>
      <c r="H28" s="1" t="s">
        <v>25</v>
      </c>
      <c r="I28" s="2">
        <v>45331</v>
      </c>
      <c r="K28" s="1" t="s">
        <v>27</v>
      </c>
    </row>
    <row r="29" spans="1:11" ht="15" customHeight="1" x14ac:dyDescent="0.25">
      <c r="A29" s="1">
        <v>2</v>
      </c>
      <c r="B29" s="1">
        <v>2024</v>
      </c>
      <c r="C29" s="1">
        <v>47</v>
      </c>
      <c r="E29" s="1" t="s">
        <v>22</v>
      </c>
      <c r="F29" s="1">
        <v>8169</v>
      </c>
      <c r="G29" s="1" t="s">
        <v>28</v>
      </c>
      <c r="H29" s="1" t="s">
        <v>31</v>
      </c>
      <c r="I29" s="2">
        <v>45331</v>
      </c>
      <c r="J29" s="1" t="s">
        <v>29</v>
      </c>
      <c r="K29" s="1" t="s">
        <v>12</v>
      </c>
    </row>
    <row r="30" spans="1:11" x14ac:dyDescent="0.25">
      <c r="A30" s="1">
        <v>2</v>
      </c>
      <c r="B30" s="1">
        <v>2024</v>
      </c>
      <c r="C30" s="1">
        <v>48</v>
      </c>
      <c r="E30" s="1" t="s">
        <v>22</v>
      </c>
      <c r="F30" s="1">
        <v>8169</v>
      </c>
      <c r="G30" s="1" t="s">
        <v>16</v>
      </c>
      <c r="H30" s="1" t="s">
        <v>58</v>
      </c>
      <c r="I30" s="2">
        <v>45333</v>
      </c>
      <c r="J30" s="1" t="s">
        <v>30</v>
      </c>
      <c r="K30" s="1" t="s">
        <v>12</v>
      </c>
    </row>
    <row r="31" spans="1:11" x14ac:dyDescent="0.25">
      <c r="A31" s="1">
        <v>2</v>
      </c>
      <c r="B31" s="1">
        <v>2024</v>
      </c>
      <c r="C31" s="1">
        <v>49</v>
      </c>
      <c r="E31" s="1" t="s">
        <v>22</v>
      </c>
      <c r="F31" s="1">
        <v>24507</v>
      </c>
      <c r="G31" s="1" t="s">
        <v>28</v>
      </c>
      <c r="H31" s="1" t="s">
        <v>47</v>
      </c>
      <c r="I31" s="2">
        <v>45336</v>
      </c>
      <c r="K31" s="1" t="s">
        <v>32</v>
      </c>
    </row>
    <row r="32" spans="1:11" x14ac:dyDescent="0.25">
      <c r="A32" s="1">
        <v>1</v>
      </c>
      <c r="B32" s="1">
        <v>2024</v>
      </c>
      <c r="C32" s="1">
        <v>26</v>
      </c>
      <c r="F32"/>
      <c r="I32" s="2"/>
      <c r="K32"/>
    </row>
  </sheetData>
  <sortState xmlns:xlrd2="http://schemas.microsoft.com/office/spreadsheetml/2017/richdata2" ref="A2:J32">
    <sortCondition ref="I2:I32"/>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43"/>
  <sheetViews>
    <sheetView topLeftCell="A16" workbookViewId="0">
      <selection activeCell="B15" sqref="B15"/>
    </sheetView>
  </sheetViews>
  <sheetFormatPr defaultRowHeight="15" x14ac:dyDescent="0.25"/>
  <cols>
    <col min="1" max="1" width="30.28515625" customWidth="1"/>
    <col min="2" max="2" width="16.28515625" bestFit="1" customWidth="1"/>
    <col min="3" max="3" width="9.42578125" customWidth="1"/>
    <col min="4" max="4" width="9.7109375" customWidth="1"/>
    <col min="5" max="5" width="11.7109375" customWidth="1"/>
    <col min="6" max="6" width="8.7109375" customWidth="1"/>
    <col min="7" max="7" width="7.28515625" customWidth="1"/>
    <col min="8" max="8" width="9.42578125" customWidth="1"/>
    <col min="9" max="9" width="7.85546875" customWidth="1"/>
    <col min="10" max="10" width="7.28515625" customWidth="1"/>
    <col min="11" max="11" width="11.28515625" customWidth="1"/>
    <col min="12" max="12" width="7.5703125" customWidth="1"/>
    <col min="13" max="14" width="7.140625" customWidth="1"/>
    <col min="15" max="15" width="6" customWidth="1"/>
    <col min="16" max="16" width="16.7109375" bestFit="1" customWidth="1"/>
    <col min="17" max="17" width="10.5703125" bestFit="1" customWidth="1"/>
    <col min="18" max="18" width="13.7109375" bestFit="1" customWidth="1"/>
    <col min="19" max="19" width="9.140625" bestFit="1" customWidth="1"/>
    <col min="20" max="20" width="7.7109375" bestFit="1" customWidth="1"/>
    <col min="21" max="21" width="6.85546875" customWidth="1"/>
    <col min="22" max="22" width="12.140625" bestFit="1" customWidth="1"/>
    <col min="23" max="23" width="11.28515625" customWidth="1"/>
    <col min="24" max="24" width="8" customWidth="1"/>
    <col min="25" max="25" width="14.42578125" bestFit="1" customWidth="1"/>
    <col min="26" max="26" width="9.7109375" bestFit="1" customWidth="1"/>
    <col min="27" max="27" width="14.28515625" bestFit="1" customWidth="1"/>
    <col min="28" max="28" width="6.28515625" customWidth="1"/>
    <col min="29" max="29" width="12.7109375" bestFit="1" customWidth="1"/>
    <col min="31" max="31" width="12.140625" bestFit="1" customWidth="1"/>
    <col min="32" max="32" width="11.28515625" bestFit="1" customWidth="1"/>
  </cols>
  <sheetData>
    <row r="2" spans="1:11" x14ac:dyDescent="0.25">
      <c r="A2" s="5" t="s">
        <v>0</v>
      </c>
      <c r="B2" t="s">
        <v>56</v>
      </c>
    </row>
    <row r="3" spans="1:11" x14ac:dyDescent="0.25">
      <c r="A3" s="5" t="s">
        <v>7</v>
      </c>
      <c r="B3" t="s">
        <v>56</v>
      </c>
    </row>
    <row r="5" spans="1:11" x14ac:dyDescent="0.25">
      <c r="A5" s="5" t="s">
        <v>57</v>
      </c>
      <c r="B5" s="5" t="s">
        <v>55</v>
      </c>
    </row>
    <row r="6" spans="1:11" x14ac:dyDescent="0.25">
      <c r="A6" s="5" t="s">
        <v>52</v>
      </c>
      <c r="B6" t="s">
        <v>14</v>
      </c>
      <c r="C6" t="s">
        <v>38</v>
      </c>
      <c r="D6" t="s">
        <v>24</v>
      </c>
      <c r="E6" t="s">
        <v>19</v>
      </c>
      <c r="F6" t="s">
        <v>41</v>
      </c>
      <c r="G6" t="s">
        <v>16</v>
      </c>
      <c r="H6" t="s">
        <v>9</v>
      </c>
      <c r="I6" t="s">
        <v>28</v>
      </c>
      <c r="J6" t="s">
        <v>53</v>
      </c>
      <c r="K6" t="s">
        <v>54</v>
      </c>
    </row>
    <row r="7" spans="1:11" x14ac:dyDescent="0.25">
      <c r="A7" s="6" t="s">
        <v>12</v>
      </c>
      <c r="B7">
        <v>37733</v>
      </c>
      <c r="C7">
        <v>16338</v>
      </c>
      <c r="E7">
        <v>17505</v>
      </c>
      <c r="F7">
        <v>8169</v>
      </c>
      <c r="G7">
        <v>89859</v>
      </c>
      <c r="H7">
        <v>32676</v>
      </c>
      <c r="I7">
        <v>16338</v>
      </c>
      <c r="K7">
        <v>218618</v>
      </c>
    </row>
    <row r="8" spans="1:11" x14ac:dyDescent="0.25">
      <c r="A8" s="6" t="s">
        <v>50</v>
      </c>
      <c r="E8">
        <v>12448</v>
      </c>
      <c r="K8">
        <v>12448</v>
      </c>
    </row>
    <row r="9" spans="1:11" x14ac:dyDescent="0.25">
      <c r="A9" s="6" t="s">
        <v>33</v>
      </c>
      <c r="E9">
        <v>31120</v>
      </c>
      <c r="I9">
        <v>43568</v>
      </c>
      <c r="K9">
        <v>74688</v>
      </c>
    </row>
    <row r="10" spans="1:11" x14ac:dyDescent="0.25">
      <c r="A10" s="6" t="s">
        <v>37</v>
      </c>
      <c r="C10">
        <v>5446</v>
      </c>
      <c r="D10">
        <v>8169</v>
      </c>
      <c r="K10">
        <v>13615</v>
      </c>
    </row>
    <row r="11" spans="1:11" x14ac:dyDescent="0.25">
      <c r="A11" s="6" t="s">
        <v>21</v>
      </c>
      <c r="D11">
        <v>12059</v>
      </c>
      <c r="E11">
        <v>32676</v>
      </c>
      <c r="F11">
        <v>8169</v>
      </c>
      <c r="G11">
        <v>12837</v>
      </c>
      <c r="K11">
        <v>65741</v>
      </c>
    </row>
    <row r="12" spans="1:11" x14ac:dyDescent="0.25">
      <c r="A12" s="6" t="s">
        <v>49</v>
      </c>
      <c r="D12">
        <v>14393</v>
      </c>
      <c r="K12">
        <v>14393</v>
      </c>
    </row>
    <row r="13" spans="1:11" x14ac:dyDescent="0.25">
      <c r="A13" s="6" t="s">
        <v>40</v>
      </c>
      <c r="D13">
        <v>33065</v>
      </c>
      <c r="K13">
        <v>33065</v>
      </c>
    </row>
    <row r="14" spans="1:11" x14ac:dyDescent="0.25">
      <c r="A14" s="6" t="s">
        <v>32</v>
      </c>
      <c r="I14">
        <v>24507</v>
      </c>
      <c r="K14">
        <v>24507</v>
      </c>
    </row>
    <row r="15" spans="1:11" x14ac:dyDescent="0.25">
      <c r="A15" s="6" t="s">
        <v>27</v>
      </c>
      <c r="D15">
        <v>9725</v>
      </c>
      <c r="K15">
        <v>9725</v>
      </c>
    </row>
    <row r="16" spans="1:11" x14ac:dyDescent="0.25">
      <c r="A16" s="6" t="s">
        <v>53</v>
      </c>
    </row>
    <row r="17" spans="1:11" x14ac:dyDescent="0.25">
      <c r="A17" s="6" t="s">
        <v>54</v>
      </c>
      <c r="B17">
        <v>37733</v>
      </c>
      <c r="C17">
        <v>21784</v>
      </c>
      <c r="D17">
        <v>77411</v>
      </c>
      <c r="E17">
        <v>93749</v>
      </c>
      <c r="F17">
        <v>16338</v>
      </c>
      <c r="G17">
        <v>102696</v>
      </c>
      <c r="H17">
        <v>32676</v>
      </c>
      <c r="I17">
        <v>84413</v>
      </c>
      <c r="K17">
        <v>466800</v>
      </c>
    </row>
    <row r="29" spans="1:11" x14ac:dyDescent="0.25">
      <c r="A29" s="5" t="s">
        <v>0</v>
      </c>
      <c r="B29" t="s">
        <v>56</v>
      </c>
    </row>
    <row r="30" spans="1:11" x14ac:dyDescent="0.25">
      <c r="A30" s="5" t="s">
        <v>7</v>
      </c>
      <c r="B30" t="s">
        <v>56</v>
      </c>
    </row>
    <row r="32" spans="1:11" x14ac:dyDescent="0.25">
      <c r="A32" s="5" t="s">
        <v>52</v>
      </c>
      <c r="B32" t="s">
        <v>57</v>
      </c>
    </row>
    <row r="33" spans="1:2" x14ac:dyDescent="0.25">
      <c r="A33" s="6" t="s">
        <v>12</v>
      </c>
      <c r="B33">
        <v>218618</v>
      </c>
    </row>
    <row r="34" spans="1:2" x14ac:dyDescent="0.25">
      <c r="A34" s="6" t="s">
        <v>50</v>
      </c>
      <c r="B34">
        <v>12448</v>
      </c>
    </row>
    <row r="35" spans="1:2" x14ac:dyDescent="0.25">
      <c r="A35" s="6" t="s">
        <v>33</v>
      </c>
      <c r="B35">
        <v>74688</v>
      </c>
    </row>
    <row r="36" spans="1:2" x14ac:dyDescent="0.25">
      <c r="A36" s="6" t="s">
        <v>37</v>
      </c>
      <c r="B36">
        <v>13615</v>
      </c>
    </row>
    <row r="37" spans="1:2" x14ac:dyDescent="0.25">
      <c r="A37" s="6" t="s">
        <v>21</v>
      </c>
      <c r="B37">
        <v>65741</v>
      </c>
    </row>
    <row r="38" spans="1:2" x14ac:dyDescent="0.25">
      <c r="A38" s="6" t="s">
        <v>49</v>
      </c>
      <c r="B38">
        <v>14393</v>
      </c>
    </row>
    <row r="39" spans="1:2" x14ac:dyDescent="0.25">
      <c r="A39" s="6" t="s">
        <v>40</v>
      </c>
      <c r="B39">
        <v>33065</v>
      </c>
    </row>
    <row r="40" spans="1:2" x14ac:dyDescent="0.25">
      <c r="A40" s="6" t="s">
        <v>32</v>
      </c>
      <c r="B40">
        <v>24507</v>
      </c>
    </row>
    <row r="41" spans="1:2" x14ac:dyDescent="0.25">
      <c r="A41" s="6" t="s">
        <v>27</v>
      </c>
      <c r="B41">
        <v>9725</v>
      </c>
    </row>
    <row r="42" spans="1:2" x14ac:dyDescent="0.25">
      <c r="A42" s="6" t="s">
        <v>53</v>
      </c>
    </row>
    <row r="43" spans="1:2" x14ac:dyDescent="0.25">
      <c r="A43" s="6" t="s">
        <v>54</v>
      </c>
      <c r="B43">
        <v>466800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F35" sqref="F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Sheet</vt:lpstr>
      <vt:lpstr>Pivot Tables</vt:lpstr>
      <vt:lpstr>Charts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Klett</dc:creator>
  <cp:lastModifiedBy>Samuel Klett</cp:lastModifiedBy>
  <dcterms:created xsi:type="dcterms:W3CDTF">2024-02-25T17:17:55Z</dcterms:created>
  <dcterms:modified xsi:type="dcterms:W3CDTF">2026-05-09T22:14:15Z</dcterms:modified>
</cp:coreProperties>
</file>